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Legend" sheetId="1" state="visible" r:id="rId3"/>
    <sheet name="Master List" sheetId="2" state="visible" r:id="rId4"/>
    <sheet name="Hot Tubs" sheetId="3" state="visible" r:id="rId5"/>
    <sheet name="Swim Spas (All Season Pools)" sheetId="4" state="visible" r:id="rId6"/>
    <sheet name="Saunas" sheetId="5" state="visible" r:id="rId7"/>
    <sheet name="Sauna Heaters" sheetId="6" state="visible" r:id="rId8"/>
    <sheet name="Chill Tubs (Cold Plunge)" sheetId="7" state="visible" r:id="rId9"/>
    <sheet name="Massage Chairs" sheetId="8" state="visible" r:id="rId10"/>
    <sheet name="Gazebos" sheetId="9" state="visible" r:id="rId11"/>
  </sheets>
  <definedNames>
    <definedName function="false" hidden="true" localSheetId="6" name="_xlnm._FilterDatabase" vbProcedure="false">'Chill Tubs (Cold Plunge)'!$A$4:$F$8</definedName>
    <definedName function="false" hidden="true" localSheetId="8" name="_xlnm._FilterDatabase" vbProcedure="false">Gazebos!$A$4:$F$10</definedName>
    <definedName function="false" hidden="true" localSheetId="2" name="_xlnm._FilterDatabase" vbProcedure="false">'Hot Tubs'!$A$4:$T$40</definedName>
    <definedName function="false" hidden="true" localSheetId="7" name="_xlnm._FilterDatabase" vbProcedure="false">'Massage Chairs'!$A$4:$D$6</definedName>
    <definedName function="false" hidden="true" localSheetId="1" name="_xlnm._FilterDatabase" vbProcedure="false">'Master List'!$A$4:$J$76</definedName>
    <definedName function="false" hidden="true" localSheetId="5" name="_xlnm._FilterDatabase" vbProcedure="false">'Sauna Heaters'!$A$4:$F$8</definedName>
    <definedName function="false" hidden="true" localSheetId="3" name="_xlnm._FilterDatabase" vbProcedure="false">'Swim Spas (All Season Pools)'!$A$4:$R$19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<sst xmlns="http://schemas.openxmlformats.org/spreadsheetml/2006/main" count="1255" uniqueCount="400">
  <si>
    <t xml:space="preserve">Wellness Shop — Master Product Database</t>
  </si>
  <si>
    <t xml:space="preserve">Source</t>
  </si>
  <si>
    <t xml:space="preserve">https://www.wellnessshop.ca</t>
  </si>
  <si>
    <t xml:space="preserve">Compiled</t>
  </si>
  <si>
    <t xml:space="preserve">Sep 10, 2026 — prices in CAD, pulled from each individual product page.</t>
  </si>
  <si>
    <t xml:space="preserve">Pricing</t>
  </si>
  <si>
    <t xml:space="preserve">MSRP = manufacturer/list price (shown as 'JFL Price' on Jacuzzi J5). Sale = current promo price. Weekly = advertised 0%-OAC weekly payment.</t>
  </si>
  <si>
    <t xml:space="preserve">Coverage</t>
  </si>
  <si>
    <t xml:space="preserve">REAL prices + full specs captured for all 32 hot tubs (Jacuzzi 25, Nordic 3, Wellness Shop 4) and all 15 swim spas, plus 4 Aquasolus. Saunas carry site MSRP. Massage chairs, chill tubs &amp; gazebos are quote-only (POA) and were excluded from this pricing pass by request.</t>
  </si>
  <si>
    <t xml:space="preserve">Catalogue summary (live counts)</t>
  </si>
  <si>
    <t xml:space="preserve">Tab / Category</t>
  </si>
  <si>
    <t xml:space="preserve">Products</t>
  </si>
  <si>
    <t xml:space="preserve">Priced?</t>
  </si>
  <si>
    <t xml:space="preserve">Hot Tubs</t>
  </si>
  <si>
    <t xml:space="preserve">Yes – MSRP + Sale</t>
  </si>
  <si>
    <t xml:space="preserve">Swim Spas (All Season Pools)</t>
  </si>
  <si>
    <t xml:space="preserve">Saunas (indoor + outdoor)</t>
  </si>
  <si>
    <t xml:space="preserve">Yes – MSRP</t>
  </si>
  <si>
    <t xml:space="preserve">Sauna Heaters</t>
  </si>
  <si>
    <t xml:space="preserve">Quote-only</t>
  </si>
  <si>
    <t xml:space="preserve">Chill Tubs (Cold Plunge)</t>
  </si>
  <si>
    <t xml:space="preserve">Massage Chairs</t>
  </si>
  <si>
    <t xml:space="preserve">Gazebos</t>
  </si>
  <si>
    <t xml:space="preserve">TOTAL PRODUCTS</t>
  </si>
  <si>
    <t xml:space="preserve">Legend / notes</t>
  </si>
  <si>
    <t xml:space="preserve">Every tab has filter dropdowns + frozen headers. Master List combines all products.</t>
  </si>
  <si>
    <t xml:space="preserve">Hot tubs &amp; swim spas: MSRP and Sale/Promo are the actual figures shown on each live product page (Sep 2026).</t>
  </si>
  <si>
    <t xml:space="preserve">Some Jacuzzi J-400 hot tubs also list a 'floor-model clearance' price and some J-200 a 'flash sale' – see the Notes column.</t>
  </si>
  <si>
    <t xml:space="preserve">Aquasolus hot tubs include a free 25th-Anniversary bundle ($4,292 value: cover, audio, LED, ozone, lifter, steps, chemicals, delivery).</t>
  </si>
  <si>
    <t xml:space="preserve">Prices change frequently and are subject to the site's pricing disclaimer – verify before publishing.</t>
  </si>
  <si>
    <t xml:space="preserve">Master Product List — Wellness Shop</t>
  </si>
  <si>
    <t xml:space="preserve">Every product in one filterable table. Prices in CAD (MSRP + current Sale where published).</t>
  </si>
  <si>
    <t xml:space="preserve">Category</t>
  </si>
  <si>
    <t xml:space="preserve">Brand</t>
  </si>
  <si>
    <t xml:space="preserve">Model</t>
  </si>
  <si>
    <t xml:space="preserve">Series / Collection</t>
  </si>
  <si>
    <t xml:space="preserve">Capacity</t>
  </si>
  <si>
    <t xml:space="preserve">Jets</t>
  </si>
  <si>
    <t xml:space="preserve">MSRP (CAD)</t>
  </si>
  <si>
    <t xml:space="preserve">Sale (CAD)</t>
  </si>
  <si>
    <t xml:space="preserve">Price Basis</t>
  </si>
  <si>
    <t xml:space="preserve">Product URL</t>
  </si>
  <si>
    <t xml:space="preserve">Hot Tub</t>
  </si>
  <si>
    <t xml:space="preserve">Jacuzzi®</t>
  </si>
  <si>
    <t xml:space="preserve">J-509™</t>
  </si>
  <si>
    <t xml:space="preserve">J5™</t>
  </si>
  <si>
    <t xml:space="preserve">8 adults</t>
  </si>
  <si>
    <t xml:space="preserve">MSRP + Sale (verified)</t>
  </si>
  <si>
    <t xml:space="preserve">https://www.wellnessshop.ca/hot-tubs/j-509/</t>
  </si>
  <si>
    <t xml:space="preserve">J-508™</t>
  </si>
  <si>
    <t xml:space="preserve">7 adults</t>
  </si>
  <si>
    <t xml:space="preserve">https://www.wellnessshop.ca/hot-tubs/j-508/</t>
  </si>
  <si>
    <t xml:space="preserve">J-508L™</t>
  </si>
  <si>
    <t xml:space="preserve">6 adults</t>
  </si>
  <si>
    <t xml:space="preserve">https://www.wellnessshop.ca/hot-tubs/j-508l/</t>
  </si>
  <si>
    <t xml:space="preserve">J-408™</t>
  </si>
  <si>
    <t xml:space="preserve">J4™</t>
  </si>
  <si>
    <t xml:space="preserve">https://www.wellnessshop.ca/hot-tubs/j-408/</t>
  </si>
  <si>
    <t xml:space="preserve">J-408L™</t>
  </si>
  <si>
    <t xml:space="preserve">https://www.wellnessshop.ca/hot-tubs/j-408l/</t>
  </si>
  <si>
    <t xml:space="preserve">J-404L™</t>
  </si>
  <si>
    <t xml:space="preserve">4 adults</t>
  </si>
  <si>
    <t xml:space="preserve">https://www.wellnessshop.ca/hot-tubs/j-404l/</t>
  </si>
  <si>
    <t xml:space="preserve">J-495™</t>
  </si>
  <si>
    <t xml:space="preserve">J-400™</t>
  </si>
  <si>
    <t xml:space="preserve">9 adults</t>
  </si>
  <si>
    <t xml:space="preserve">https://www.wellnessshop.ca/hot-tubs/j-495/</t>
  </si>
  <si>
    <t xml:space="preserve">J-485™</t>
  </si>
  <si>
    <t xml:space="preserve">https://www.wellnessshop.ca/hot-tubs/j-485/</t>
  </si>
  <si>
    <t xml:space="preserve">J-475™</t>
  </si>
  <si>
    <t xml:space="preserve">https://www.wellnessshop.ca/hot-tubs/j-475/</t>
  </si>
  <si>
    <t xml:space="preserve">J-445™</t>
  </si>
  <si>
    <t xml:space="preserve">https://www.wellnessshop.ca/hot-tubs/j-445/</t>
  </si>
  <si>
    <t xml:space="preserve">J-435™</t>
  </si>
  <si>
    <t xml:space="preserve">https://www.wellnessshop.ca/hot-tubs/j-435/</t>
  </si>
  <si>
    <t xml:space="preserve">J-385™</t>
  </si>
  <si>
    <t xml:space="preserve">J-300™</t>
  </si>
  <si>
    <t xml:space="preserve">https://www.wellnessshop.ca/hot-tubs/j-385/</t>
  </si>
  <si>
    <t xml:space="preserve">J-365™</t>
  </si>
  <si>
    <t xml:space="preserve">https://www.wellnessshop.ca/hot-tubs/j-365/</t>
  </si>
  <si>
    <t xml:space="preserve">J-345™</t>
  </si>
  <si>
    <t xml:space="preserve">https://www.wellnessshop.ca/hot-tubs/j-345/</t>
  </si>
  <si>
    <t xml:space="preserve">J-375™</t>
  </si>
  <si>
    <t xml:space="preserve">https://www.wellnessshop.ca/hot-tubs/j-375/</t>
  </si>
  <si>
    <t xml:space="preserve">J-355™</t>
  </si>
  <si>
    <t xml:space="preserve">https://www.wellnessshop.ca/hot-tubs/j-355/</t>
  </si>
  <si>
    <t xml:space="preserve">J-335™</t>
  </si>
  <si>
    <t xml:space="preserve">https://www.wellnessshop.ca/hot-tubs/j-335/</t>
  </si>
  <si>
    <t xml:space="preserve">J-325™</t>
  </si>
  <si>
    <t xml:space="preserve">5 adults</t>
  </si>
  <si>
    <t xml:space="preserve">https://www.wellnessshop.ca/hot-tubs/j-325/</t>
  </si>
  <si>
    <t xml:space="preserve">J-315™</t>
  </si>
  <si>
    <t xml:space="preserve">3 adults</t>
  </si>
  <si>
    <t xml:space="preserve">https://www.wellnessshop.ca/hot-tubs/j-315/</t>
  </si>
  <si>
    <t xml:space="preserve">J-285™</t>
  </si>
  <si>
    <t xml:space="preserve">J-200™</t>
  </si>
  <si>
    <t xml:space="preserve">https://www.wellnessshop.ca/hot-tubs/j-285/</t>
  </si>
  <si>
    <t xml:space="preserve">J-245™</t>
  </si>
  <si>
    <t xml:space="preserve">https://www.wellnessshop.ca/hot-tubs/j-245/</t>
  </si>
  <si>
    <t xml:space="preserve">J-275™</t>
  </si>
  <si>
    <t xml:space="preserve">https://www.wellnessshop.ca/hot-tubs/j-275/</t>
  </si>
  <si>
    <t xml:space="preserve">J-235™</t>
  </si>
  <si>
    <t xml:space="preserve">https://www.wellnessshop.ca/hot-tubs/j-235/</t>
  </si>
  <si>
    <t xml:space="preserve">J-225™</t>
  </si>
  <si>
    <t xml:space="preserve">https://www.wellnessshop.ca/hot-tubs/j-225/</t>
  </si>
  <si>
    <t xml:space="preserve">J-215™</t>
  </si>
  <si>
    <t xml:space="preserve">https://www.wellnessshop.ca/hot-tubs/j-215-2/</t>
  </si>
  <si>
    <t xml:space="preserve">Nordic™</t>
  </si>
  <si>
    <t xml:space="preserve">Retreat All-In-110V™</t>
  </si>
  <si>
    <t xml:space="preserve">All-In-110V Series</t>
  </si>
  <si>
    <t xml:space="preserve">https://www.wellnessshop.ca/hot-tubs/retreat-all-in-110v/</t>
  </si>
  <si>
    <t xml:space="preserve">Sport All-In-110V™</t>
  </si>
  <si>
    <t xml:space="preserve">https://www.wellnessshop.ca/hot-tubs/sport-all-in-110v/</t>
  </si>
  <si>
    <t xml:space="preserve">Retreat SE™</t>
  </si>
  <si>
    <t xml:space="preserve">Sport Series</t>
  </si>
  <si>
    <t xml:space="preserve">https://www.wellnessshop.ca/hot-tubs/retreat-se/</t>
  </si>
  <si>
    <t xml:space="preserve">Wellness Shop</t>
  </si>
  <si>
    <t xml:space="preserve">Ontario S106</t>
  </si>
  <si>
    <t xml:space="preserve">Wellness Shop (private label)</t>
  </si>
  <si>
    <t xml:space="preserve">https://www.wellnessshop.ca/hot-tubs/s106-ws-24-no-lounger/</t>
  </si>
  <si>
    <t xml:space="preserve">Ontario S104</t>
  </si>
  <si>
    <t xml:space="preserve">https://www.wellnessshop.ca/hot-tubs/no-lounger-ontario/</t>
  </si>
  <si>
    <t xml:space="preserve">Ontario L S103</t>
  </si>
  <si>
    <t xml:space="preserve">https://www.wellnessshop.ca/hot-tubs/lounger-ontario-l/</t>
  </si>
  <si>
    <t xml:space="preserve">Ontario L S105</t>
  </si>
  <si>
    <t xml:space="preserve">https://www.wellnessshop.ca/hot-tubs/ontario-l-s105/</t>
  </si>
  <si>
    <t xml:space="preserve">Aquasolus</t>
  </si>
  <si>
    <t xml:space="preserve">The Brook</t>
  </si>
  <si>
    <t xml:space="preserve">AquaPure Series</t>
  </si>
  <si>
    <t xml:space="preserve">Sale + reg (free bundle)</t>
  </si>
  <si>
    <t xml:space="preserve">https://www.wellnessshop.ca/hot-tubs/the-brook-hot-tub-by-aquasolus/</t>
  </si>
  <si>
    <t xml:space="preserve">The Cove</t>
  </si>
  <si>
    <t xml:space="preserve">https://www.wellnessshop.ca/hot-tubs/cove/</t>
  </si>
  <si>
    <t xml:space="preserve">The Calma</t>
  </si>
  <si>
    <t xml:space="preserve">NaturaBalance Series</t>
  </si>
  <si>
    <t xml:space="preserve">https://www.wellnessshop.ca/hot-tubs/calma/</t>
  </si>
  <si>
    <t xml:space="preserve">The Eden</t>
  </si>
  <si>
    <t xml:space="preserve">https://www.wellnessshop.ca/hot-tubs/eden/</t>
  </si>
  <si>
    <t xml:space="preserve">Swim Spa</t>
  </si>
  <si>
    <t xml:space="preserve">J-19DT PowerPro™</t>
  </si>
  <si>
    <t xml:space="preserve">PowerPro™</t>
  </si>
  <si>
    <t xml:space="preserve">https://www.wellnessshop.ca/all-season-pools/j-19dt-powerpro/</t>
  </si>
  <si>
    <t xml:space="preserve">J-19 PowerPro™</t>
  </si>
  <si>
    <t xml:space="preserve">https://www.wellnessshop.ca/all-season-pools/j-19-powerpro/</t>
  </si>
  <si>
    <t xml:space="preserve">J-16 PowerPro™</t>
  </si>
  <si>
    <t xml:space="preserve">https://www.wellnessshop.ca/all-season-pools/j-16-powerpro/</t>
  </si>
  <si>
    <t xml:space="preserve">J-14 PowerPro™</t>
  </si>
  <si>
    <t xml:space="preserve">https://www.wellnessshop.ca/all-season-pools/j-14-powerpro/</t>
  </si>
  <si>
    <t xml:space="preserve">J-19DT PowerActive™</t>
  </si>
  <si>
    <t xml:space="preserve">PowerActive™</t>
  </si>
  <si>
    <t xml:space="preserve">https://www.wellnessshop.ca/all-season-pools/j-19dt-poweractive/</t>
  </si>
  <si>
    <t xml:space="preserve">J-19 PowerActive™</t>
  </si>
  <si>
    <t xml:space="preserve">https://www.wellnessshop.ca/all-season-pools/j-19-poweractive/</t>
  </si>
  <si>
    <t xml:space="preserve">J-16 PowerActive™</t>
  </si>
  <si>
    <t xml:space="preserve">https://www.wellnessshop.ca/all-season-pools/j-16-poweractive/</t>
  </si>
  <si>
    <t xml:space="preserve">J-14 PowerActive™</t>
  </si>
  <si>
    <t xml:space="preserve">https://www.wellnessshop.ca/all-season-pools/j-14-poweractive/</t>
  </si>
  <si>
    <t xml:space="preserve">J-13 PowerPlay™</t>
  </si>
  <si>
    <t xml:space="preserve">PowerPlay™</t>
  </si>
  <si>
    <t xml:space="preserve">https://www.wellnessshop.ca/all-season-pools/j-13-powerplay/</t>
  </si>
  <si>
    <t xml:space="preserve">J-12 Flow</t>
  </si>
  <si>
    <t xml:space="preserve">https://www.wellnessshop.ca/all-season-pools/j-12-powerplay/</t>
  </si>
  <si>
    <t xml:space="preserve">SwimLife™</t>
  </si>
  <si>
    <t xml:space="preserve">SwimExpert DualStream 19</t>
  </si>
  <si>
    <t xml:space="preserve">SwimExpert</t>
  </si>
  <si>
    <t xml:space="preserve">https://www.wellnessshop.ca/all-season-pools/swimexpert-dualstream-19/</t>
  </si>
  <si>
    <t xml:space="preserve">SwimExpert AquaStream 17</t>
  </si>
  <si>
    <t xml:space="preserve">https://www.wellnessshop.ca/all-season-pools/swimexpert-aquastream-17/</t>
  </si>
  <si>
    <t xml:space="preserve">SwimExpert SwimStream 14</t>
  </si>
  <si>
    <t xml:space="preserve">https://www.wellnessshop.ca/all-season-pools/swimexpert-swimstream-14/</t>
  </si>
  <si>
    <t xml:space="preserve">SwimFit AquaStream 17</t>
  </si>
  <si>
    <t xml:space="preserve">SwimFit</t>
  </si>
  <si>
    <t xml:space="preserve">https://www.wellnessshop.ca/all-season-pools/swimfit-aquastream-17/</t>
  </si>
  <si>
    <t xml:space="preserve">SwimFit SwimStream 14</t>
  </si>
  <si>
    <t xml:space="preserve">https://www.wellnessshop.ca/all-season-pools/swimfit-swimstream-14/</t>
  </si>
  <si>
    <t xml:space="preserve">Sauna (Infrared)</t>
  </si>
  <si>
    <t xml:space="preserve">Clearlight®</t>
  </si>
  <si>
    <t xml:space="preserve">Sanctuary 1</t>
  </si>
  <si>
    <t xml:space="preserve">Sanctuary</t>
  </si>
  <si>
    <t xml:space="preserve">1 adults</t>
  </si>
  <si>
    <t xml:space="preserve">-</t>
  </si>
  <si>
    <t xml:space="preserve">MSRP</t>
  </si>
  <si>
    <t xml:space="preserve">https://www.wellnessshop.ca/saunas/sanctuary-1/</t>
  </si>
  <si>
    <t xml:space="preserve">Sanctuary 2</t>
  </si>
  <si>
    <t xml:space="preserve">2 adults</t>
  </si>
  <si>
    <t xml:space="preserve">https://www.wellnessshop.ca/saunas/sanctuary-2/</t>
  </si>
  <si>
    <t xml:space="preserve">Sanctuary 3</t>
  </si>
  <si>
    <t xml:space="preserve">https://www.wellnessshop.ca/saunas/sanctuary-3/</t>
  </si>
  <si>
    <t xml:space="preserve">Sanctuary 5</t>
  </si>
  <si>
    <t xml:space="preserve">https://www.wellnessshop.ca/saunas/sanctuary-5/</t>
  </si>
  <si>
    <t xml:space="preserve">Sanctuary Y</t>
  </si>
  <si>
    <t xml:space="preserve">https://www.wellnessshop.ca/saunas/sanctuary-y/</t>
  </si>
  <si>
    <t xml:space="preserve">Sanctuary C</t>
  </si>
  <si>
    <t xml:space="preserve">https://www.wellnessshop.ca/saunas/sanctuary-c/</t>
  </si>
  <si>
    <t xml:space="preserve">Sanctuary Retreat</t>
  </si>
  <si>
    <t xml:space="preserve">https://www.wellnessshop.ca/saunas/sanctuary-retreat/</t>
  </si>
  <si>
    <t xml:space="preserve">Sauna (Outdoor)</t>
  </si>
  <si>
    <t xml:space="preserve">Serenity</t>
  </si>
  <si>
    <t xml:space="preserve">Serenity Mini</t>
  </si>
  <si>
    <t xml:space="preserve">Open bench</t>
  </si>
  <si>
    <t xml:space="preserve">MSRP/Sale knotty; clear higher</t>
  </si>
  <si>
    <t xml:space="preserve">https://www.wellnessshop.ca/outdoor-saunas/</t>
  </si>
  <si>
    <t xml:space="preserve">Serenity Sauna</t>
  </si>
  <si>
    <t xml:space="preserve">Chill Tub</t>
  </si>
  <si>
    <t xml:space="preserve">Chill Tubs</t>
  </si>
  <si>
    <t xml:space="preserve">Chill Tub Essential Bath</t>
  </si>
  <si>
    <t xml:space="preserve">498 L</t>
  </si>
  <si>
    <t xml:space="preserve">Request quote (POA)</t>
  </si>
  <si>
    <t xml:space="preserve">https://www.wellnessshop.ca/chill-tubs/chill-tub-essential-bath/</t>
  </si>
  <si>
    <t xml:space="preserve">Chill Tub Essential Pod</t>
  </si>
  <si>
    <t xml:space="preserve">https://www.wellnessshop.ca/chill-tubs/chill-tub-essential-pod/</t>
  </si>
  <si>
    <t xml:space="preserve">Chill Tub Obsidian</t>
  </si>
  <si>
    <t xml:space="preserve">400 L</t>
  </si>
  <si>
    <t xml:space="preserve">https://www.wellnessshop.ca/chill-tubs/chill-tub-obsidian/</t>
  </si>
  <si>
    <t xml:space="preserve">Chill Tub Pro</t>
  </si>
  <si>
    <t xml:space="preserve">700 L</t>
  </si>
  <si>
    <t xml:space="preserve">https://www.wellnessshop.ca/chill-tubs/chill-tub-pro/</t>
  </si>
  <si>
    <t xml:space="preserve">Massage Chair</t>
  </si>
  <si>
    <t xml:space="preserve">Summit WS190</t>
  </si>
  <si>
    <t xml:space="preserve">https://www.wellnessshop.ca/massage-chairs/summit-ws190/</t>
  </si>
  <si>
    <t xml:space="preserve">Dreamcatcher WS170</t>
  </si>
  <si>
    <t xml:space="preserve">https://www.wellnessshop.ca/massage-chairs/dreamcatcher-ws170/</t>
  </si>
  <si>
    <t xml:space="preserve">Gazebo</t>
  </si>
  <si>
    <t xml:space="preserve">Visscher</t>
  </si>
  <si>
    <t xml:space="preserve">Duke Series</t>
  </si>
  <si>
    <t xml:space="preserve">https://www.wellnessshop.ca/gazebos/duke/</t>
  </si>
  <si>
    <t xml:space="preserve">Cypress Series</t>
  </si>
  <si>
    <t xml:space="preserve">https://www.wellnessshop.ca/gazebos/cypress-series/</t>
  </si>
  <si>
    <t xml:space="preserve">Hudson Series</t>
  </si>
  <si>
    <t xml:space="preserve">https://www.wellnessshop.ca/gazebos/hudson-series/</t>
  </si>
  <si>
    <t xml:space="preserve">Sequoia 11×14</t>
  </si>
  <si>
    <t xml:space="preserve">https://www.wellnessshop.ca/gazebos/sequoia-open-air/</t>
  </si>
  <si>
    <t xml:space="preserve">Sedona 9×9</t>
  </si>
  <si>
    <t xml:space="preserve">https://www.wellnessshop.ca/gazebos/sedona-open-air/</t>
  </si>
  <si>
    <t xml:space="preserve">Savannah 11×11</t>
  </si>
  <si>
    <t xml:space="preserve">https://www.wellnessshop.ca/gazebos/savannah-open-air/</t>
  </si>
  <si>
    <t xml:space="preserve">Wellness Shop hot tub catalogue — CAD. MSRP = list/JFL price; Sale = current promo price (both verified on each product page).</t>
  </si>
  <si>
    <t xml:space="preserve">Collection / Series</t>
  </si>
  <si>
    <t xml:space="preserve">Seats (Adults)</t>
  </si>
  <si>
    <t xml:space="preserve">Seating Type</t>
  </si>
  <si>
    <t xml:space="preserve">Sale / Promo (CAD)</t>
  </si>
  <si>
    <t xml:space="preserve">Weekly Pmt (CAD)</t>
  </si>
  <si>
    <t xml:space="preserve">Dimensions (in)</t>
  </si>
  <si>
    <t xml:space="preserve">Volume (gal)</t>
  </si>
  <si>
    <t xml:space="preserve">Volume (L)</t>
  </si>
  <si>
    <t xml:space="preserve">Dry Wt (lb)</t>
  </si>
  <si>
    <t xml:space="preserve">Filled Wt (lb)</t>
  </si>
  <si>
    <t xml:space="preserve">Filtration</t>
  </si>
  <si>
    <t xml:space="preserve">Water Management</t>
  </si>
  <si>
    <t xml:space="preserve">Electrical</t>
  </si>
  <si>
    <t xml:space="preserve">Notes</t>
  </si>
  <si>
    <t xml:space="preserve">Open</t>
  </si>
  <si>
    <t xml:space="preserve">94 x 110 x 37</t>
  </si>
  <si>
    <t xml:space="preserve">ProClarity® 6-Stage</t>
  </si>
  <si>
    <t xml:space="preserve">True Water® + ProClarity® 6-Stage</t>
  </si>
  <si>
    <t xml:space="preserve">94 x 94 x 37</t>
  </si>
  <si>
    <t xml:space="preserve">89 x 89 x 34</t>
  </si>
  <si>
    <t xml:space="preserve">ProClarity® 5-Stage</t>
  </si>
  <si>
    <t xml:space="preserve">True Water™</t>
  </si>
  <si>
    <t xml:space="preserve">Lounge</t>
  </si>
  <si>
    <t xml:space="preserve">69 x 84 x 33</t>
  </si>
  <si>
    <t xml:space="preserve">91 x 110 x 37.5-43.5</t>
  </si>
  <si>
    <t xml:space="preserve">ProClarity™ 5-Stage</t>
  </si>
  <si>
    <t xml:space="preserve">Floor-model clearance $31,395 (2025 stock)</t>
  </si>
  <si>
    <t xml:space="preserve">91 x 91 x 37.5-43.5</t>
  </si>
  <si>
    <t xml:space="preserve">Floor-model clearance $26,295 (2025 stock)</t>
  </si>
  <si>
    <t xml:space="preserve">84 x 84 x 37.5-43.5</t>
  </si>
  <si>
    <t xml:space="preserve">Floor-model clearance $23,995 (2025 stock)</t>
  </si>
  <si>
    <t xml:space="preserve">Floor-model clearance $24,995 (2025 stock)</t>
  </si>
  <si>
    <t xml:space="preserve">91 x 91 x 37.5</t>
  </si>
  <si>
    <t xml:space="preserve">ProClear® (skimming weir + ProCatch bag)</t>
  </si>
  <si>
    <t xml:space="preserve">True Water™ / CLEARRAY Active Oxygen™</t>
  </si>
  <si>
    <t xml:space="preserve">84 x 91 x 37.5</t>
  </si>
  <si>
    <t xml:space="preserve">84 x 84 x 36</t>
  </si>
  <si>
    <t xml:space="preserve">84 x 76 x 33.5</t>
  </si>
  <si>
    <t xml:space="preserve">66 x 76 x 31.75</t>
  </si>
  <si>
    <t xml:space="preserve">89 x 89 x 36</t>
  </si>
  <si>
    <t xml:space="preserve">ProClassic™ 2-Stage (ProCatch bag)</t>
  </si>
  <si>
    <t xml:space="preserve">CLEARRAY® UV-C</t>
  </si>
  <si>
    <t xml:space="preserve">Flash/floor clearance from $14,695 (2025 stock)</t>
  </si>
  <si>
    <t xml:space="preserve">80 x 80 x 33</t>
  </si>
  <si>
    <t xml:space="preserve">69 x 80 x 33</t>
  </si>
  <si>
    <t xml:space="preserve">ProClassic™ (ProCatch™ bag)</t>
  </si>
  <si>
    <t xml:space="preserve">80 x 70 x 34</t>
  </si>
  <si>
    <t xml:space="preserve">Nordic Clean™ (Wrap &amp; Clean Ozonator)</t>
  </si>
  <si>
    <t xml:space="preserve">Nordic Clean™ Ozone</t>
  </si>
  <si>
    <t xml:space="preserve">110V 15A plug-n-play (GFCI cord incl.)</t>
  </si>
  <si>
    <t xml:space="preserve">Bi-weekly from $18.62</t>
  </si>
  <si>
    <t xml:space="preserve">78.5 dia x 35 (round)</t>
  </si>
  <si>
    <t xml:space="preserve">Bi-weekly from $15.01</t>
  </si>
  <si>
    <t xml:space="preserve">Nordic Clean™ / Nordic Pure™ Ozone</t>
  </si>
  <si>
    <t xml:space="preserve">220V 40A</t>
  </si>
  <si>
    <t xml:space="preserve">Bi-weekly from $19.38</t>
  </si>
  <si>
    <t xml:space="preserve">94 x 94 x 36</t>
  </si>
  <si>
    <t xml:space="preserve">(1) 50 sq ft flow-through filter</t>
  </si>
  <si>
    <t xml:space="preserve">Ozone filtration; Thermal Shield insulation</t>
  </si>
  <si>
    <t xml:space="preserve">North America 60 Hz</t>
  </si>
  <si>
    <t xml:space="preserve">USA-built; two 6-HP jet pumps. Not incl. in No-Tax sale.</t>
  </si>
  <si>
    <t xml:space="preserve">86 x 86 x 36</t>
  </si>
  <si>
    <t xml:space="preserve">Flow-through filter</t>
  </si>
  <si>
    <t xml:space="preserve">Open (lounger)</t>
  </si>
  <si>
    <t xml:space="preserve">Ozone filtration; Thermal Shield insulation; GECKO K1000 keypad</t>
  </si>
  <si>
    <t xml:space="preserve">Ozone system</t>
  </si>
  <si>
    <t xml:space="preserve">Superior Wellness (European-built)</t>
  </si>
  <si>
    <t xml:space="preserve">From $22.04 bi-weekly; FREE 25th-Anniversary bundle ($4,292 value)</t>
  </si>
  <si>
    <t xml:space="preserve">From $23.94 bi-weekly; FREE 25th-Anniversary bundle ($4,292 value)</t>
  </si>
  <si>
    <t xml:space="preserve">From $27.74 bi-weekly; FREE 25th-Anniversary bundle ($4,292 value)</t>
  </si>
  <si>
    <t xml:space="preserve">Lounger</t>
  </si>
  <si>
    <t xml:space="preserve">Swim Spas / All Season Pools</t>
  </si>
  <si>
    <t xml:space="preserve">Jacuzzi® PowerPro/PowerActive/PowerPlay &amp; SwimLife™ SwimExpert/SwimFit — CAD, verified per product page.</t>
  </si>
  <si>
    <t xml:space="preserve">Series</t>
  </si>
  <si>
    <t xml:space="preserve">Length (ft)</t>
  </si>
  <si>
    <t xml:space="preserve">Seats</t>
  </si>
  <si>
    <t xml:space="preserve">220.75 x 92 x 52.75</t>
  </si>
  <si>
    <t xml:space="preserve">CLEARRAY™ Active Oxygen + Quad 50 sq ft</t>
  </si>
  <si>
    <t xml:space="preserve">220-240 VAC 1x20A + 1x40A</t>
  </si>
  <si>
    <t xml:space="preserve">Dual-temperature</t>
  </si>
  <si>
    <t xml:space="preserve">219.75 x 92 x 52.75</t>
  </si>
  <si>
    <t xml:space="preserve">CLEARRAY™ Active Oxygen + Dual 50 sq ft</t>
  </si>
  <si>
    <t xml:space="preserve">220-240 VAC 1x40A</t>
  </si>
  <si>
    <t xml:space="preserve">184.75 x 92 x 52.75</t>
  </si>
  <si>
    <t xml:space="preserve">172.25 x 92 x 52.75</t>
  </si>
  <si>
    <t xml:space="preserve">CLEARRAY™ Active Oxygen + 4x 50 sq ft</t>
  </si>
  <si>
    <t xml:space="preserve">Dual-temperature (swim + hot tub zones)</t>
  </si>
  <si>
    <t xml:space="preserve">148.25 x 92 x 50</t>
  </si>
  <si>
    <t xml:space="preserve">1x 50 sq ft DFML filter</t>
  </si>
  <si>
    <t xml:space="preserve">220-240 VAC 1x32A</t>
  </si>
  <si>
    <t xml:space="preserve">CLEARRAY™ UV-C + 50 sq ft DFML</t>
  </si>
  <si>
    <t xml:space="preserve">226 x 93 x 53</t>
  </si>
  <si>
    <t xml:space="preserve">ClearStream – Mineral Based System</t>
  </si>
  <si>
    <t xml:space="preserve">Dual-temp; incl. attached 5-person hot tub (30 jets, separate controls)</t>
  </si>
  <si>
    <t xml:space="preserve">210 x 93 x 53</t>
  </si>
  <si>
    <t xml:space="preserve">174 x 93 x 53</t>
  </si>
  <si>
    <t xml:space="preserve">Saunas — Indoor Infrared &amp; Outdoor Cedar</t>
  </si>
  <si>
    <t xml:space="preserve">Clearlight® Sanctuary (MSRP) + Serenity outdoor cedar (MSRP/Sale), from the site.</t>
  </si>
  <si>
    <t xml:space="preserve">Clearlight® Sanctuary — Indoor Infrared</t>
  </si>
  <si>
    <t xml:space="preserve">Capacity (Adults)</t>
  </si>
  <si>
    <t xml:space="preserve">Type</t>
  </si>
  <si>
    <t xml:space="preserve">Full-spectrum infrared</t>
  </si>
  <si>
    <t xml:space="preserve">Serenity — Outdoor Cedar (heater sold separately)</t>
  </si>
  <si>
    <t xml:space="preserve">Max Temp</t>
  </si>
  <si>
    <t xml:space="preserve">Seating</t>
  </si>
  <si>
    <t xml:space="preserve">Exterior Dimensions</t>
  </si>
  <si>
    <t xml:space="preserve">MSRP Knotty</t>
  </si>
  <si>
    <t xml:space="preserve">MSRP Clear</t>
  </si>
  <si>
    <t xml:space="preserve">Sale Knotty</t>
  </si>
  <si>
    <t xml:space="preserve">Sale Clear</t>
  </si>
  <si>
    <t xml:space="preserve">Bi-Weekly (Knotty/Clear)</t>
  </si>
  <si>
    <t xml:space="preserve">Up to 194°F</t>
  </si>
  <si>
    <t xml:space="preserve">Front 99"/Back 90"/Base 76x73 (ext.)</t>
  </si>
  <si>
    <t xml:space="preserve">$29.64 / $34.39</t>
  </si>
  <si>
    <t xml:space="preserve">Front 108¾"/Back 87"/Base 85¾ x89 (ext.)</t>
  </si>
  <si>
    <t xml:space="preserve">$34.39 / $41.04</t>
  </si>
  <si>
    <t xml:space="preserve">Sauna Heaters (for outdoor saunas)</t>
  </si>
  <si>
    <t xml:space="preserve">Sold separately from Serenity outdoor saunas. Prices quote-only (POA).</t>
  </si>
  <si>
    <t xml:space="preserve">Heater</t>
  </si>
  <si>
    <t xml:space="preserve">Power / Capacity</t>
  </si>
  <si>
    <t xml:space="preserve">Dimensions</t>
  </si>
  <si>
    <t xml:space="preserve">HUUM Drop</t>
  </si>
  <si>
    <t xml:space="preserve">Electric</t>
  </si>
  <si>
    <t xml:space="preserve">Stones 55 kg (121 lb)</t>
  </si>
  <si>
    <t xml:space="preserve">H590 / W390 / D335 mm</t>
  </si>
  <si>
    <t xml:space="preserve">Wall-mounted, water-drop design</t>
  </si>
  <si>
    <t xml:space="preserve">HUUM Hive</t>
  </si>
  <si>
    <t xml:space="preserve">12/15/18 kW; stones ≤250 kg</t>
  </si>
  <si>
    <t xml:space="preserve">H750 / Dia560 mm</t>
  </si>
  <si>
    <t xml:space="preserve">Floor-mounted; ≤110°C; Wi-Fi (UKU)</t>
  </si>
  <si>
    <t xml:space="preserve">Karhu 20</t>
  </si>
  <si>
    <t xml:space="preserve">Wood-burning</t>
  </si>
  <si>
    <t xml:space="preserve">For larger saunas</t>
  </si>
  <si>
    <t xml:space="preserve">H730 / W435 / D475 mm</t>
  </si>
  <si>
    <t xml:space="preserve">Robust wood-burning heater</t>
  </si>
  <si>
    <t xml:space="preserve">Revive</t>
  </si>
  <si>
    <t xml:space="preserve">Holds ≤200 lb of rocks</t>
  </si>
  <si>
    <t xml:space="preserve">W355 / D355 / H914 mm</t>
  </si>
  <si>
    <t xml:space="preserve">Tower design, free-airflow</t>
  </si>
  <si>
    <t xml:space="preserve">Chill Tubs — Cold Plunge</t>
  </si>
  <si>
    <t xml:space="preserve">Chill Tubs brand. Pricing quote-only online (not part of this pricing pass).</t>
  </si>
  <si>
    <t xml:space="preserve">Water Capacity</t>
  </si>
  <si>
    <t xml:space="preserve">Weight</t>
  </si>
  <si>
    <t xml:space="preserve">18 kg</t>
  </si>
  <si>
    <t xml:space="preserve">17 kg</t>
  </si>
  <si>
    <t xml:space="preserve">125 kg</t>
  </si>
  <si>
    <t xml:space="preserve">220 kg</t>
  </si>
  <si>
    <t xml:space="preserve">Quote-only online (not part of this pricing pass).</t>
  </si>
  <si>
    <t xml:space="preserve">Gazebos (Visscher)</t>
  </si>
  <si>
    <t xml:space="preserve">Visscher cedar gazebos. Quote-only online (not part of this pricing pass).</t>
  </si>
  <si>
    <t xml:space="preserve">Model / Series</t>
  </si>
  <si>
    <t xml:space="preserve">Size</t>
  </si>
  <si>
    <t xml:space="preserve">Style</t>
  </si>
  <si>
    <t xml:space="preserve">Multiple</t>
  </si>
  <si>
    <t xml:space="preserve">Enclosed / veranda</t>
  </si>
  <si>
    <t xml:space="preserve">Cedar panel</t>
  </si>
  <si>
    <t xml:space="preserve">11×14 (+)</t>
  </si>
  <si>
    <t xml:space="preserve">Enclosed</t>
  </si>
  <si>
    <t xml:space="preserve">11×14</t>
  </si>
  <si>
    <t xml:space="preserve">Open-air / louvered</t>
  </si>
  <si>
    <t xml:space="preserve">9×9</t>
  </si>
  <si>
    <t xml:space="preserve">Open-air</t>
  </si>
  <si>
    <t xml:space="preserve">11×11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</si>
</sst>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6E4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8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23.8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35.0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8" customFormat="false" ht="15" hidden="false" customHeight="false" outlineLevel="0" collapsed="false">
      <c r="A8" s="4" t="s">
        <v>9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12</v>
      </c>
    </row>
    <row r="10" customFormat="false" ht="15" hidden="false" customHeight="false" outlineLevel="0" collapsed="false">
      <c r="A10" s="6" t="s">
        <v>13</v>
      </c>
      <c r="B10" s="7" t="n">
        <f aca="false">COUNTA('Hot Tubs'!C5:C60)</f>
        <v>36</v>
      </c>
      <c r="C10" s="6" t="s">
        <v>14</v>
      </c>
    </row>
    <row r="11" customFormat="false" ht="15" hidden="false" customHeight="false" outlineLevel="0" collapsed="false">
      <c r="A11" s="6" t="s">
        <v>15</v>
      </c>
      <c r="B11" s="7" t="n">
        <f aca="false">COUNTA('Swim Spas (All Season Pools)'!B5:B40)</f>
        <v>15</v>
      </c>
      <c r="C11" s="6" t="s">
        <v>14</v>
      </c>
    </row>
    <row r="12" customFormat="false" ht="15" hidden="false" customHeight="false" outlineLevel="0" collapsed="false">
      <c r="A12" s="6" t="s">
        <v>16</v>
      </c>
      <c r="B12" s="7" t="n">
        <f aca="false">COUNTA(Saunas!B6:B17)-1</f>
        <v>9</v>
      </c>
      <c r="C12" s="6" t="s">
        <v>17</v>
      </c>
    </row>
    <row r="13" customFormat="false" ht="15" hidden="false" customHeight="false" outlineLevel="0" collapsed="false">
      <c r="A13" s="6" t="s">
        <v>18</v>
      </c>
      <c r="B13" s="7" t="n">
        <f aca="false">COUNTA('Sauna Heaters'!A5:A8)</f>
        <v>4</v>
      </c>
      <c r="C13" s="6" t="s">
        <v>19</v>
      </c>
    </row>
    <row r="14" customFormat="false" ht="15" hidden="false" customHeight="false" outlineLevel="0" collapsed="false">
      <c r="A14" s="6" t="s">
        <v>20</v>
      </c>
      <c r="B14" s="7" t="n">
        <f aca="false">COUNTA('Chill Tubs (Cold Plunge)'!B5:B8)</f>
        <v>4</v>
      </c>
      <c r="C14" s="6" t="s">
        <v>19</v>
      </c>
    </row>
    <row r="15" customFormat="false" ht="15" hidden="false" customHeight="false" outlineLevel="0" collapsed="false">
      <c r="A15" s="6" t="s">
        <v>21</v>
      </c>
      <c r="B15" s="7" t="n">
        <f aca="false">COUNTA('Massage Chairs'!B5:B6)</f>
        <v>2</v>
      </c>
      <c r="C15" s="6" t="s">
        <v>19</v>
      </c>
    </row>
    <row r="16" customFormat="false" ht="15" hidden="false" customHeight="false" outlineLevel="0" collapsed="false">
      <c r="A16" s="6" t="s">
        <v>22</v>
      </c>
      <c r="B16" s="7" t="n">
        <f aca="false">COUNTA(Gazebos!B5:B10)</f>
        <v>6</v>
      </c>
      <c r="C16" s="6" t="s">
        <v>19</v>
      </c>
    </row>
    <row r="17" customFormat="false" ht="15" hidden="false" customHeight="false" outlineLevel="0" collapsed="false">
      <c r="A17" s="8" t="s">
        <v>23</v>
      </c>
      <c r="B17" s="9" t="n">
        <f aca="false">SUM(B10:B16)</f>
        <v>76</v>
      </c>
      <c r="C17" s="10"/>
    </row>
    <row r="19" customFormat="false" ht="15" hidden="false" customHeight="false" outlineLevel="0" collapsed="false">
      <c r="A19" s="4" t="s">
        <v>24</v>
      </c>
    </row>
    <row r="20" customFormat="false" ht="15" hidden="false" customHeight="true" outlineLevel="0" collapsed="false">
      <c r="A20" s="3" t="s">
        <v>25</v>
      </c>
      <c r="B20" s="3"/>
      <c r="C20" s="3"/>
      <c r="D20" s="3"/>
      <c r="E20" s="3"/>
      <c r="F20" s="3"/>
    </row>
    <row r="21" customFormat="false" ht="15" hidden="false" customHeight="true" outlineLevel="0" collapsed="false">
      <c r="A21" s="3" t="s">
        <v>26</v>
      </c>
      <c r="B21" s="3"/>
      <c r="C21" s="3"/>
      <c r="D21" s="3"/>
      <c r="E21" s="3"/>
      <c r="F21" s="3"/>
    </row>
    <row r="22" customFormat="false" ht="15" hidden="false" customHeight="true" outlineLevel="0" collapsed="false">
      <c r="A22" s="3" t="s">
        <v>27</v>
      </c>
      <c r="B22" s="3"/>
      <c r="C22" s="3"/>
      <c r="D22" s="3"/>
      <c r="E22" s="3"/>
      <c r="F22" s="3"/>
    </row>
    <row r="23" customFormat="false" ht="15" hidden="false" customHeight="true" outlineLevel="0" collapsed="false">
      <c r="A23" s="3" t="s">
        <v>28</v>
      </c>
      <c r="B23" s="3"/>
      <c r="C23" s="3"/>
      <c r="D23" s="3"/>
      <c r="E23" s="3"/>
      <c r="F23" s="3"/>
    </row>
    <row r="24" customFormat="false" ht="15" hidden="false" customHeight="true" outlineLevel="0" collapsed="false">
      <c r="A24" s="3" t="s">
        <v>29</v>
      </c>
      <c r="B24" s="3"/>
      <c r="C24" s="3"/>
      <c r="D24" s="3"/>
      <c r="E24" s="3"/>
      <c r="F24" s="3"/>
    </row>
  </sheetData>
  <mergeCells count="9">
    <mergeCell ref="B3:F3"/>
    <mergeCell ref="B4:F4"/>
    <mergeCell ref="B5:F5"/>
    <mergeCell ref="B6:F6"/>
    <mergeCell ref="A20:F20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8" min="7" style="0" width="13"/>
    <col collapsed="false" customWidth="true" hidden="false" outlineLevel="0" max="9" min="9" style="0" width="26"/>
    <col collapsed="false" customWidth="true" hidden="false" outlineLevel="0" max="10" min="10" style="0" width="46"/>
  </cols>
  <sheetData>
    <row r="1" customFormat="false" ht="19.7" hidden="false" customHeight="false" outlineLevel="0" collapsed="false">
      <c r="A1" s="11" t="s">
        <v>30</v>
      </c>
    </row>
    <row r="2" customFormat="false" ht="15" hidden="false" customHeight="false" outlineLevel="0" collapsed="false">
      <c r="A2" s="12" t="s">
        <v>31</v>
      </c>
    </row>
    <row r="4" customFormat="false" ht="15" hidden="false" customHeight="false" outlineLevel="0" collapsed="false">
      <c r="A4" s="13" t="s">
        <v>32</v>
      </c>
      <c r="B4" s="13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38</v>
      </c>
      <c r="H4" s="13" t="s">
        <v>39</v>
      </c>
      <c r="I4" s="13" t="s">
        <v>40</v>
      </c>
      <c r="J4" s="13" t="s">
        <v>41</v>
      </c>
    </row>
    <row r="5" customFormat="false" ht="15" hidden="false" customHeight="false" outlineLevel="0" collapsed="false">
      <c r="A5" s="14" t="s">
        <v>42</v>
      </c>
      <c r="B5" s="14" t="s">
        <v>43</v>
      </c>
      <c r="C5" s="14" t="s">
        <v>44</v>
      </c>
      <c r="D5" s="14" t="s">
        <v>45</v>
      </c>
      <c r="E5" s="14" t="s">
        <v>46</v>
      </c>
      <c r="F5" s="14" t="n">
        <v>76</v>
      </c>
      <c r="G5" s="15" t="n">
        <v>47595</v>
      </c>
      <c r="H5" s="15" t="n">
        <v>39595</v>
      </c>
      <c r="I5" s="14" t="s">
        <v>47</v>
      </c>
      <c r="J5" s="14" t="s">
        <v>48</v>
      </c>
    </row>
    <row r="6" customFormat="false" ht="15" hidden="false" customHeight="false" outlineLevel="0" collapsed="false">
      <c r="A6" s="14" t="s">
        <v>42</v>
      </c>
      <c r="B6" s="14" t="s">
        <v>43</v>
      </c>
      <c r="C6" s="14" t="s">
        <v>49</v>
      </c>
      <c r="D6" s="14" t="s">
        <v>45</v>
      </c>
      <c r="E6" s="14" t="s">
        <v>50</v>
      </c>
      <c r="F6" s="14" t="n">
        <v>56</v>
      </c>
      <c r="G6" s="15" t="n">
        <v>43695</v>
      </c>
      <c r="H6" s="15" t="n">
        <v>35695</v>
      </c>
      <c r="I6" s="14" t="s">
        <v>47</v>
      </c>
      <c r="J6" s="14" t="s">
        <v>51</v>
      </c>
    </row>
    <row r="7" customFormat="false" ht="15" hidden="false" customHeight="false" outlineLevel="0" collapsed="false">
      <c r="A7" s="14" t="s">
        <v>42</v>
      </c>
      <c r="B7" s="14" t="s">
        <v>43</v>
      </c>
      <c r="C7" s="14" t="s">
        <v>52</v>
      </c>
      <c r="D7" s="14" t="s">
        <v>45</v>
      </c>
      <c r="E7" s="14" t="s">
        <v>53</v>
      </c>
      <c r="F7" s="14" t="n">
        <v>60</v>
      </c>
      <c r="G7" s="15" t="n">
        <v>43695</v>
      </c>
      <c r="H7" s="15" t="n">
        <v>35695</v>
      </c>
      <c r="I7" s="14" t="s">
        <v>47</v>
      </c>
      <c r="J7" s="14" t="s">
        <v>54</v>
      </c>
    </row>
    <row r="8" customFormat="false" ht="15" hidden="false" customHeight="false" outlineLevel="0" collapsed="false">
      <c r="A8" s="14" t="s">
        <v>42</v>
      </c>
      <c r="B8" s="14" t="s">
        <v>43</v>
      </c>
      <c r="C8" s="14" t="s">
        <v>55</v>
      </c>
      <c r="D8" s="14" t="s">
        <v>56</v>
      </c>
      <c r="E8" s="14" t="s">
        <v>50</v>
      </c>
      <c r="F8" s="14" t="n">
        <v>41</v>
      </c>
      <c r="G8" s="15" t="n">
        <v>36995</v>
      </c>
      <c r="H8" s="15" t="n">
        <v>29995</v>
      </c>
      <c r="I8" s="14" t="s">
        <v>47</v>
      </c>
      <c r="J8" s="14" t="s">
        <v>57</v>
      </c>
    </row>
    <row r="9" customFormat="false" ht="15" hidden="false" customHeight="false" outlineLevel="0" collapsed="false">
      <c r="A9" s="14" t="s">
        <v>42</v>
      </c>
      <c r="B9" s="14" t="s">
        <v>43</v>
      </c>
      <c r="C9" s="14" t="s">
        <v>58</v>
      </c>
      <c r="D9" s="14" t="s">
        <v>56</v>
      </c>
      <c r="E9" s="14" t="s">
        <v>53</v>
      </c>
      <c r="F9" s="14" t="n">
        <v>39</v>
      </c>
      <c r="G9" s="15" t="n">
        <v>36995</v>
      </c>
      <c r="H9" s="15" t="n">
        <v>29995</v>
      </c>
      <c r="I9" s="14" t="s">
        <v>47</v>
      </c>
      <c r="J9" s="14" t="s">
        <v>59</v>
      </c>
    </row>
    <row r="10" customFormat="false" ht="15" hidden="false" customHeight="false" outlineLevel="0" collapsed="false">
      <c r="A10" s="14" t="s">
        <v>42</v>
      </c>
      <c r="B10" s="14" t="s">
        <v>43</v>
      </c>
      <c r="C10" s="14" t="s">
        <v>60</v>
      </c>
      <c r="D10" s="14" t="s">
        <v>56</v>
      </c>
      <c r="E10" s="14" t="s">
        <v>61</v>
      </c>
      <c r="F10" s="14" t="n">
        <v>32</v>
      </c>
      <c r="G10" s="15" t="n">
        <v>32195</v>
      </c>
      <c r="H10" s="15" t="n">
        <v>25195</v>
      </c>
      <c r="I10" s="14" t="s">
        <v>47</v>
      </c>
      <c r="J10" s="14" t="s">
        <v>62</v>
      </c>
    </row>
    <row r="11" customFormat="false" ht="15" hidden="false" customHeight="false" outlineLevel="0" collapsed="false">
      <c r="A11" s="14" t="s">
        <v>42</v>
      </c>
      <c r="B11" s="14" t="s">
        <v>43</v>
      </c>
      <c r="C11" s="14" t="s">
        <v>63</v>
      </c>
      <c r="D11" s="14" t="s">
        <v>64</v>
      </c>
      <c r="E11" s="14" t="s">
        <v>65</v>
      </c>
      <c r="F11" s="14" t="n">
        <v>71</v>
      </c>
      <c r="G11" s="15" t="n">
        <v>43595</v>
      </c>
      <c r="H11" s="15" t="n">
        <v>34595</v>
      </c>
      <c r="I11" s="14" t="s">
        <v>47</v>
      </c>
      <c r="J11" s="14" t="s">
        <v>66</v>
      </c>
    </row>
    <row r="12" customFormat="false" ht="15" hidden="false" customHeight="false" outlineLevel="0" collapsed="false">
      <c r="A12" s="14" t="s">
        <v>42</v>
      </c>
      <c r="B12" s="14" t="s">
        <v>43</v>
      </c>
      <c r="C12" s="14" t="s">
        <v>67</v>
      </c>
      <c r="D12" s="14" t="s">
        <v>64</v>
      </c>
      <c r="E12" s="14" t="s">
        <v>50</v>
      </c>
      <c r="F12" s="14" t="n">
        <v>49</v>
      </c>
      <c r="G12" s="15" t="n">
        <v>39795</v>
      </c>
      <c r="H12" s="15" t="n">
        <v>30795</v>
      </c>
      <c r="I12" s="14" t="s">
        <v>47</v>
      </c>
      <c r="J12" s="14" t="s">
        <v>68</v>
      </c>
    </row>
    <row r="13" customFormat="false" ht="15" hidden="false" customHeight="false" outlineLevel="0" collapsed="false">
      <c r="A13" s="14" t="s">
        <v>42</v>
      </c>
      <c r="B13" s="14" t="s">
        <v>43</v>
      </c>
      <c r="C13" s="14" t="s">
        <v>69</v>
      </c>
      <c r="D13" s="14" t="s">
        <v>64</v>
      </c>
      <c r="E13" s="14" t="s">
        <v>50</v>
      </c>
      <c r="F13" s="14" t="n">
        <v>55</v>
      </c>
      <c r="G13" s="15" t="n">
        <v>39795</v>
      </c>
      <c r="H13" s="15" t="n">
        <v>30795</v>
      </c>
      <c r="I13" s="14" t="s">
        <v>47</v>
      </c>
      <c r="J13" s="14" t="s">
        <v>70</v>
      </c>
    </row>
    <row r="14" customFormat="false" ht="15" hidden="false" customHeight="false" outlineLevel="0" collapsed="false">
      <c r="A14" s="14" t="s">
        <v>42</v>
      </c>
      <c r="B14" s="14" t="s">
        <v>43</v>
      </c>
      <c r="C14" s="14" t="s">
        <v>71</v>
      </c>
      <c r="D14" s="14" t="s">
        <v>64</v>
      </c>
      <c r="E14" s="14" t="s">
        <v>53</v>
      </c>
      <c r="F14" s="14" t="n">
        <v>45</v>
      </c>
      <c r="G14" s="15" t="n">
        <v>36895</v>
      </c>
      <c r="H14" s="15" t="n">
        <v>27895</v>
      </c>
      <c r="I14" s="14" t="s">
        <v>47</v>
      </c>
      <c r="J14" s="14" t="s">
        <v>72</v>
      </c>
    </row>
    <row r="15" customFormat="false" ht="15" hidden="false" customHeight="false" outlineLevel="0" collapsed="false">
      <c r="A15" s="14" t="s">
        <v>42</v>
      </c>
      <c r="B15" s="14" t="s">
        <v>43</v>
      </c>
      <c r="C15" s="14" t="s">
        <v>73</v>
      </c>
      <c r="D15" s="14" t="s">
        <v>64</v>
      </c>
      <c r="E15" s="14" t="s">
        <v>53</v>
      </c>
      <c r="F15" s="14" t="n">
        <v>47</v>
      </c>
      <c r="G15" s="15" t="n">
        <v>36895</v>
      </c>
      <c r="H15" s="15" t="n">
        <v>27895</v>
      </c>
      <c r="I15" s="14" t="s">
        <v>47</v>
      </c>
      <c r="J15" s="14" t="s">
        <v>74</v>
      </c>
    </row>
    <row r="16" customFormat="false" ht="15" hidden="false" customHeight="false" outlineLevel="0" collapsed="false">
      <c r="A16" s="14" t="s">
        <v>42</v>
      </c>
      <c r="B16" s="14" t="s">
        <v>43</v>
      </c>
      <c r="C16" s="14" t="s">
        <v>75</v>
      </c>
      <c r="D16" s="14" t="s">
        <v>76</v>
      </c>
      <c r="E16" s="14" t="s">
        <v>50</v>
      </c>
      <c r="F16" s="14" t="n">
        <v>51</v>
      </c>
      <c r="G16" s="15" t="n">
        <v>32595</v>
      </c>
      <c r="H16" s="15" t="n">
        <v>26595</v>
      </c>
      <c r="I16" s="14" t="s">
        <v>47</v>
      </c>
      <c r="J16" s="14" t="s">
        <v>77</v>
      </c>
    </row>
    <row r="17" customFormat="false" ht="15" hidden="false" customHeight="false" outlineLevel="0" collapsed="false">
      <c r="A17" s="14" t="s">
        <v>42</v>
      </c>
      <c r="B17" s="14" t="s">
        <v>43</v>
      </c>
      <c r="C17" s="14" t="s">
        <v>78</v>
      </c>
      <c r="D17" s="14" t="s">
        <v>76</v>
      </c>
      <c r="E17" s="14" t="s">
        <v>50</v>
      </c>
      <c r="F17" s="14" t="n">
        <v>46</v>
      </c>
      <c r="G17" s="15" t="n">
        <v>30795</v>
      </c>
      <c r="H17" s="15" t="n">
        <v>24795</v>
      </c>
      <c r="I17" s="14" t="s">
        <v>47</v>
      </c>
      <c r="J17" s="14" t="s">
        <v>79</v>
      </c>
    </row>
    <row r="18" customFormat="false" ht="15" hidden="false" customHeight="false" outlineLevel="0" collapsed="false">
      <c r="A18" s="14" t="s">
        <v>42</v>
      </c>
      <c r="B18" s="14" t="s">
        <v>43</v>
      </c>
      <c r="C18" s="14" t="s">
        <v>80</v>
      </c>
      <c r="D18" s="14" t="s">
        <v>76</v>
      </c>
      <c r="E18" s="14" t="s">
        <v>50</v>
      </c>
      <c r="F18" s="14" t="n">
        <v>41</v>
      </c>
      <c r="G18" s="15" t="n">
        <v>29195</v>
      </c>
      <c r="H18" s="15" t="n">
        <v>23195</v>
      </c>
      <c r="I18" s="14" t="s">
        <v>47</v>
      </c>
      <c r="J18" s="14" t="s">
        <v>81</v>
      </c>
    </row>
    <row r="19" customFormat="false" ht="15" hidden="false" customHeight="false" outlineLevel="0" collapsed="false">
      <c r="A19" s="14" t="s">
        <v>42</v>
      </c>
      <c r="B19" s="14" t="s">
        <v>43</v>
      </c>
      <c r="C19" s="14" t="s">
        <v>82</v>
      </c>
      <c r="D19" s="14" t="s">
        <v>76</v>
      </c>
      <c r="E19" s="14" t="s">
        <v>53</v>
      </c>
      <c r="F19" s="14" t="n">
        <v>52</v>
      </c>
      <c r="G19" s="15" t="n">
        <v>31295</v>
      </c>
      <c r="H19" s="15" t="n">
        <v>25295</v>
      </c>
      <c r="I19" s="14" t="s">
        <v>47</v>
      </c>
      <c r="J19" s="14" t="s">
        <v>83</v>
      </c>
    </row>
    <row r="20" customFormat="false" ht="15" hidden="false" customHeight="false" outlineLevel="0" collapsed="false">
      <c r="A20" s="14" t="s">
        <v>42</v>
      </c>
      <c r="B20" s="14" t="s">
        <v>43</v>
      </c>
      <c r="C20" s="14" t="s">
        <v>84</v>
      </c>
      <c r="D20" s="14" t="s">
        <v>76</v>
      </c>
      <c r="E20" s="14" t="s">
        <v>53</v>
      </c>
      <c r="F20" s="14" t="n">
        <v>44</v>
      </c>
      <c r="G20" s="15" t="n">
        <v>30795</v>
      </c>
      <c r="H20" s="15" t="n">
        <v>24795</v>
      </c>
      <c r="I20" s="14" t="s">
        <v>47</v>
      </c>
      <c r="J20" s="14" t="s">
        <v>85</v>
      </c>
    </row>
    <row r="21" customFormat="false" ht="15" hidden="false" customHeight="false" outlineLevel="0" collapsed="false">
      <c r="A21" s="14" t="s">
        <v>42</v>
      </c>
      <c r="B21" s="14" t="s">
        <v>43</v>
      </c>
      <c r="C21" s="14" t="s">
        <v>86</v>
      </c>
      <c r="D21" s="14" t="s">
        <v>76</v>
      </c>
      <c r="E21" s="14" t="s">
        <v>53</v>
      </c>
      <c r="F21" s="14" t="n">
        <v>42</v>
      </c>
      <c r="G21" s="15" t="n">
        <v>27995</v>
      </c>
      <c r="H21" s="15" t="n">
        <v>21995</v>
      </c>
      <c r="I21" s="14" t="s">
        <v>47</v>
      </c>
      <c r="J21" s="14" t="s">
        <v>87</v>
      </c>
    </row>
    <row r="22" customFormat="false" ht="15" hidden="false" customHeight="false" outlineLevel="0" collapsed="false">
      <c r="A22" s="14" t="s">
        <v>42</v>
      </c>
      <c r="B22" s="14" t="s">
        <v>43</v>
      </c>
      <c r="C22" s="14" t="s">
        <v>88</v>
      </c>
      <c r="D22" s="14" t="s">
        <v>76</v>
      </c>
      <c r="E22" s="14" t="s">
        <v>89</v>
      </c>
      <c r="F22" s="14" t="n">
        <v>23</v>
      </c>
      <c r="G22" s="15" t="n">
        <v>26495</v>
      </c>
      <c r="H22" s="15" t="n">
        <v>20495</v>
      </c>
      <c r="I22" s="14" t="s">
        <v>47</v>
      </c>
      <c r="J22" s="14" t="s">
        <v>90</v>
      </c>
    </row>
    <row r="23" customFormat="false" ht="15" hidden="false" customHeight="false" outlineLevel="0" collapsed="false">
      <c r="A23" s="14" t="s">
        <v>42</v>
      </c>
      <c r="B23" s="14" t="s">
        <v>43</v>
      </c>
      <c r="C23" s="14" t="s">
        <v>91</v>
      </c>
      <c r="D23" s="14" t="s">
        <v>76</v>
      </c>
      <c r="E23" s="14" t="s">
        <v>92</v>
      </c>
      <c r="F23" s="14" t="n">
        <v>23</v>
      </c>
      <c r="G23" s="15" t="n">
        <v>24795</v>
      </c>
      <c r="H23" s="15" t="n">
        <v>18795</v>
      </c>
      <c r="I23" s="14" t="s">
        <v>47</v>
      </c>
      <c r="J23" s="14" t="s">
        <v>93</v>
      </c>
    </row>
    <row r="24" customFormat="false" ht="15" hidden="false" customHeight="false" outlineLevel="0" collapsed="false">
      <c r="A24" s="14" t="s">
        <v>42</v>
      </c>
      <c r="B24" s="14" t="s">
        <v>43</v>
      </c>
      <c r="C24" s="14" t="s">
        <v>94</v>
      </c>
      <c r="D24" s="14" t="s">
        <v>95</v>
      </c>
      <c r="E24" s="14" t="s">
        <v>50</v>
      </c>
      <c r="F24" s="14" t="n">
        <v>42</v>
      </c>
      <c r="G24" s="15" t="n">
        <v>22695</v>
      </c>
      <c r="H24" s="15" t="n">
        <v>18695</v>
      </c>
      <c r="I24" s="14" t="s">
        <v>47</v>
      </c>
      <c r="J24" s="14" t="s">
        <v>96</v>
      </c>
    </row>
    <row r="25" customFormat="false" ht="15" hidden="false" customHeight="false" outlineLevel="0" collapsed="false">
      <c r="A25" s="14" t="s">
        <v>42</v>
      </c>
      <c r="B25" s="14" t="s">
        <v>43</v>
      </c>
      <c r="C25" s="14" t="s">
        <v>97</v>
      </c>
      <c r="D25" s="14" t="s">
        <v>95</v>
      </c>
      <c r="E25" s="14" t="s">
        <v>50</v>
      </c>
      <c r="F25" s="14" t="n">
        <v>37</v>
      </c>
      <c r="G25" s="15" t="n">
        <v>20295</v>
      </c>
      <c r="H25" s="15" t="n">
        <v>16295</v>
      </c>
      <c r="I25" s="14" t="s">
        <v>47</v>
      </c>
      <c r="J25" s="14" t="s">
        <v>98</v>
      </c>
    </row>
    <row r="26" customFormat="false" ht="15" hidden="false" customHeight="false" outlineLevel="0" collapsed="false">
      <c r="A26" s="14" t="s">
        <v>42</v>
      </c>
      <c r="B26" s="14" t="s">
        <v>43</v>
      </c>
      <c r="C26" s="14" t="s">
        <v>99</v>
      </c>
      <c r="D26" s="14" t="s">
        <v>95</v>
      </c>
      <c r="E26" s="14" t="s">
        <v>53</v>
      </c>
      <c r="F26" s="14" t="n">
        <v>38</v>
      </c>
      <c r="G26" s="15" t="n">
        <v>21995</v>
      </c>
      <c r="H26" s="15" t="n">
        <v>14695</v>
      </c>
      <c r="I26" s="14" t="s">
        <v>47</v>
      </c>
      <c r="J26" s="14" t="s">
        <v>100</v>
      </c>
    </row>
    <row r="27" customFormat="false" ht="15" hidden="false" customHeight="false" outlineLevel="0" collapsed="false">
      <c r="A27" s="14" t="s">
        <v>42</v>
      </c>
      <c r="B27" s="14" t="s">
        <v>43</v>
      </c>
      <c r="C27" s="14" t="s">
        <v>101</v>
      </c>
      <c r="D27" s="14" t="s">
        <v>95</v>
      </c>
      <c r="E27" s="14" t="s">
        <v>53</v>
      </c>
      <c r="F27" s="14" t="n">
        <v>34</v>
      </c>
      <c r="G27" s="15" t="n">
        <v>20295</v>
      </c>
      <c r="H27" s="15" t="n">
        <v>16295</v>
      </c>
      <c r="I27" s="14" t="s">
        <v>47</v>
      </c>
      <c r="J27" s="14" t="s">
        <v>102</v>
      </c>
    </row>
    <row r="28" customFormat="false" ht="15" hidden="false" customHeight="false" outlineLevel="0" collapsed="false">
      <c r="A28" s="14" t="s">
        <v>42</v>
      </c>
      <c r="B28" s="14" t="s">
        <v>43</v>
      </c>
      <c r="C28" s="14" t="s">
        <v>103</v>
      </c>
      <c r="D28" s="14" t="s">
        <v>95</v>
      </c>
      <c r="E28" s="14" t="s">
        <v>89</v>
      </c>
      <c r="F28" s="14" t="n">
        <v>26</v>
      </c>
      <c r="G28" s="15" t="n">
        <v>18695</v>
      </c>
      <c r="H28" s="15" t="n">
        <v>14695</v>
      </c>
      <c r="I28" s="14" t="s">
        <v>47</v>
      </c>
      <c r="J28" s="14" t="s">
        <v>104</v>
      </c>
    </row>
    <row r="29" customFormat="false" ht="15" hidden="false" customHeight="false" outlineLevel="0" collapsed="false">
      <c r="A29" s="14" t="s">
        <v>42</v>
      </c>
      <c r="B29" s="14" t="s">
        <v>43</v>
      </c>
      <c r="C29" s="14" t="s">
        <v>105</v>
      </c>
      <c r="D29" s="14" t="s">
        <v>95</v>
      </c>
      <c r="E29" s="14" t="s">
        <v>92</v>
      </c>
      <c r="F29" s="14" t="n">
        <v>21</v>
      </c>
      <c r="G29" s="15" t="n">
        <v>18095</v>
      </c>
      <c r="H29" s="15" t="n">
        <v>14095</v>
      </c>
      <c r="I29" s="14" t="s">
        <v>47</v>
      </c>
      <c r="J29" s="14" t="s">
        <v>106</v>
      </c>
    </row>
    <row r="30" customFormat="false" ht="15" hidden="false" customHeight="false" outlineLevel="0" collapsed="false">
      <c r="A30" s="14" t="s">
        <v>42</v>
      </c>
      <c r="B30" s="14" t="s">
        <v>107</v>
      </c>
      <c r="C30" s="14" t="s">
        <v>108</v>
      </c>
      <c r="D30" s="14" t="s">
        <v>109</v>
      </c>
      <c r="E30" s="14" t="s">
        <v>89</v>
      </c>
      <c r="F30" s="14" t="n">
        <v>13</v>
      </c>
      <c r="G30" s="15" t="n">
        <v>11195</v>
      </c>
      <c r="H30" s="15" t="n">
        <v>9195</v>
      </c>
      <c r="I30" s="14" t="s">
        <v>47</v>
      </c>
      <c r="J30" s="14" t="s">
        <v>110</v>
      </c>
    </row>
    <row r="31" customFormat="false" ht="15" hidden="false" customHeight="false" outlineLevel="0" collapsed="false">
      <c r="A31" s="14" t="s">
        <v>42</v>
      </c>
      <c r="B31" s="14" t="s">
        <v>107</v>
      </c>
      <c r="C31" s="14" t="s">
        <v>111</v>
      </c>
      <c r="D31" s="14" t="s">
        <v>109</v>
      </c>
      <c r="E31" s="14" t="s">
        <v>89</v>
      </c>
      <c r="F31" s="14" t="n">
        <v>15</v>
      </c>
      <c r="G31" s="15" t="n">
        <v>9295</v>
      </c>
      <c r="H31" s="15" t="n">
        <v>7295</v>
      </c>
      <c r="I31" s="14" t="s">
        <v>47</v>
      </c>
      <c r="J31" s="14" t="s">
        <v>112</v>
      </c>
    </row>
    <row r="32" customFormat="false" ht="15" hidden="false" customHeight="false" outlineLevel="0" collapsed="false">
      <c r="A32" s="14" t="s">
        <v>42</v>
      </c>
      <c r="B32" s="14" t="s">
        <v>107</v>
      </c>
      <c r="C32" s="14" t="s">
        <v>113</v>
      </c>
      <c r="D32" s="14" t="s">
        <v>114</v>
      </c>
      <c r="E32" s="14" t="s">
        <v>89</v>
      </c>
      <c r="F32" s="14" t="n">
        <v>29</v>
      </c>
      <c r="G32" s="15" t="n">
        <v>12195</v>
      </c>
      <c r="H32" s="15" t="n">
        <v>10195</v>
      </c>
      <c r="I32" s="14" t="s">
        <v>47</v>
      </c>
      <c r="J32" s="14" t="s">
        <v>115</v>
      </c>
    </row>
    <row r="33" customFormat="false" ht="15" hidden="false" customHeight="false" outlineLevel="0" collapsed="false">
      <c r="A33" s="14" t="s">
        <v>42</v>
      </c>
      <c r="B33" s="14" t="s">
        <v>116</v>
      </c>
      <c r="C33" s="14" t="s">
        <v>117</v>
      </c>
      <c r="D33" s="14" t="s">
        <v>118</v>
      </c>
      <c r="E33" s="14" t="s">
        <v>50</v>
      </c>
      <c r="F33" s="14" t="n">
        <v>59</v>
      </c>
      <c r="G33" s="15" t="n">
        <v>19695</v>
      </c>
      <c r="H33" s="15" t="n">
        <v>17695</v>
      </c>
      <c r="I33" s="14" t="s">
        <v>47</v>
      </c>
      <c r="J33" s="14" t="s">
        <v>119</v>
      </c>
    </row>
    <row r="34" customFormat="false" ht="15" hidden="false" customHeight="false" outlineLevel="0" collapsed="false">
      <c r="A34" s="14" t="s">
        <v>42</v>
      </c>
      <c r="B34" s="14" t="s">
        <v>116</v>
      </c>
      <c r="C34" s="14" t="s">
        <v>120</v>
      </c>
      <c r="D34" s="14" t="s">
        <v>118</v>
      </c>
      <c r="E34" s="14" t="s">
        <v>50</v>
      </c>
      <c r="F34" s="14" t="n">
        <v>54</v>
      </c>
      <c r="G34" s="15" t="n">
        <v>17595</v>
      </c>
      <c r="H34" s="15" t="n">
        <v>15595</v>
      </c>
      <c r="I34" s="14" t="s">
        <v>47</v>
      </c>
      <c r="J34" s="14" t="s">
        <v>121</v>
      </c>
    </row>
    <row r="35" customFormat="false" ht="15" hidden="false" customHeight="false" outlineLevel="0" collapsed="false">
      <c r="A35" s="14" t="s">
        <v>42</v>
      </c>
      <c r="B35" s="14" t="s">
        <v>116</v>
      </c>
      <c r="C35" s="14" t="s">
        <v>122</v>
      </c>
      <c r="D35" s="14" t="s">
        <v>118</v>
      </c>
      <c r="E35" s="14" t="s">
        <v>53</v>
      </c>
      <c r="F35" s="14" t="n">
        <v>51</v>
      </c>
      <c r="G35" s="15" t="n">
        <v>17595</v>
      </c>
      <c r="H35" s="15" t="n">
        <v>15595</v>
      </c>
      <c r="I35" s="14" t="s">
        <v>47</v>
      </c>
      <c r="J35" s="14" t="s">
        <v>123</v>
      </c>
    </row>
    <row r="36" customFormat="false" ht="15" hidden="false" customHeight="false" outlineLevel="0" collapsed="false">
      <c r="A36" s="14" t="s">
        <v>42</v>
      </c>
      <c r="B36" s="14" t="s">
        <v>116</v>
      </c>
      <c r="C36" s="14" t="s">
        <v>124</v>
      </c>
      <c r="D36" s="14" t="s">
        <v>118</v>
      </c>
      <c r="E36" s="14" t="s">
        <v>53</v>
      </c>
      <c r="F36" s="14" t="n">
        <v>56</v>
      </c>
      <c r="G36" s="15" t="n">
        <v>19695</v>
      </c>
      <c r="H36" s="15" t="n">
        <v>17695</v>
      </c>
      <c r="I36" s="14" t="s">
        <v>47</v>
      </c>
      <c r="J36" s="14" t="s">
        <v>125</v>
      </c>
    </row>
    <row r="37" customFormat="false" ht="15" hidden="false" customHeight="false" outlineLevel="0" collapsed="false">
      <c r="A37" s="14" t="s">
        <v>42</v>
      </c>
      <c r="B37" s="14" t="s">
        <v>126</v>
      </c>
      <c r="C37" s="14" t="s">
        <v>127</v>
      </c>
      <c r="D37" s="14" t="s">
        <v>128</v>
      </c>
      <c r="E37" s="14" t="s">
        <v>61</v>
      </c>
      <c r="F37" s="14" t="n">
        <v>23</v>
      </c>
      <c r="G37" s="15" t="n">
        <v>12995</v>
      </c>
      <c r="H37" s="15" t="n">
        <v>10995</v>
      </c>
      <c r="I37" s="14" t="s">
        <v>129</v>
      </c>
      <c r="J37" s="14" t="s">
        <v>130</v>
      </c>
    </row>
    <row r="38" customFormat="false" ht="15" hidden="false" customHeight="false" outlineLevel="0" collapsed="false">
      <c r="A38" s="14" t="s">
        <v>42</v>
      </c>
      <c r="B38" s="14" t="s">
        <v>126</v>
      </c>
      <c r="C38" s="14" t="s">
        <v>131</v>
      </c>
      <c r="D38" s="14" t="s">
        <v>128</v>
      </c>
      <c r="E38" s="14" t="s">
        <v>50</v>
      </c>
      <c r="F38" s="14" t="n">
        <v>27</v>
      </c>
      <c r="G38" s="15" t="n">
        <v>13995</v>
      </c>
      <c r="H38" s="15" t="n">
        <v>11995</v>
      </c>
      <c r="I38" s="14" t="s">
        <v>129</v>
      </c>
      <c r="J38" s="14" t="s">
        <v>132</v>
      </c>
    </row>
    <row r="39" customFormat="false" ht="15" hidden="false" customHeight="false" outlineLevel="0" collapsed="false">
      <c r="A39" s="14" t="s">
        <v>42</v>
      </c>
      <c r="B39" s="14" t="s">
        <v>126</v>
      </c>
      <c r="C39" s="14" t="s">
        <v>133</v>
      </c>
      <c r="D39" s="14" t="s">
        <v>134</v>
      </c>
      <c r="E39" s="14" t="s">
        <v>50</v>
      </c>
      <c r="F39" s="14" t="n">
        <v>37</v>
      </c>
      <c r="G39" s="15" t="n">
        <v>15995</v>
      </c>
      <c r="H39" s="15" t="n">
        <v>13995</v>
      </c>
      <c r="I39" s="14" t="s">
        <v>129</v>
      </c>
      <c r="J39" s="14" t="s">
        <v>135</v>
      </c>
    </row>
    <row r="40" customFormat="false" ht="15" hidden="false" customHeight="false" outlineLevel="0" collapsed="false">
      <c r="A40" s="14" t="s">
        <v>42</v>
      </c>
      <c r="B40" s="14" t="s">
        <v>126</v>
      </c>
      <c r="C40" s="14" t="s">
        <v>136</v>
      </c>
      <c r="D40" s="14" t="s">
        <v>134</v>
      </c>
      <c r="E40" s="14" t="s">
        <v>53</v>
      </c>
      <c r="F40" s="14" t="n">
        <v>42</v>
      </c>
      <c r="G40" s="15" t="n">
        <v>15995</v>
      </c>
      <c r="H40" s="15" t="n">
        <v>13995</v>
      </c>
      <c r="I40" s="14" t="s">
        <v>129</v>
      </c>
      <c r="J40" s="14" t="s">
        <v>137</v>
      </c>
    </row>
    <row r="41" customFormat="false" ht="15" hidden="false" customHeight="false" outlineLevel="0" collapsed="false">
      <c r="A41" s="14" t="s">
        <v>138</v>
      </c>
      <c r="B41" s="14" t="s">
        <v>43</v>
      </c>
      <c r="C41" s="14" t="s">
        <v>139</v>
      </c>
      <c r="D41" s="14" t="s">
        <v>140</v>
      </c>
      <c r="E41" s="14" t="s">
        <v>53</v>
      </c>
      <c r="F41" s="14" t="n">
        <v>53</v>
      </c>
      <c r="G41" s="15" t="n">
        <v>68895</v>
      </c>
      <c r="H41" s="15" t="n">
        <v>60895</v>
      </c>
      <c r="I41" s="14" t="s">
        <v>47</v>
      </c>
      <c r="J41" s="14" t="s">
        <v>141</v>
      </c>
    </row>
    <row r="42" customFormat="false" ht="15" hidden="false" customHeight="false" outlineLevel="0" collapsed="false">
      <c r="A42" s="14" t="s">
        <v>138</v>
      </c>
      <c r="B42" s="14" t="s">
        <v>43</v>
      </c>
      <c r="C42" s="14" t="s">
        <v>142</v>
      </c>
      <c r="D42" s="14" t="s">
        <v>140</v>
      </c>
      <c r="E42" s="14" t="s">
        <v>61</v>
      </c>
      <c r="F42" s="14" t="n">
        <v>34</v>
      </c>
      <c r="G42" s="15" t="n">
        <v>66995</v>
      </c>
      <c r="H42" s="15" t="n">
        <v>58995</v>
      </c>
      <c r="I42" s="14" t="s">
        <v>47</v>
      </c>
      <c r="J42" s="14" t="s">
        <v>143</v>
      </c>
    </row>
    <row r="43" customFormat="false" ht="15" hidden="false" customHeight="false" outlineLevel="0" collapsed="false">
      <c r="A43" s="14" t="s">
        <v>138</v>
      </c>
      <c r="B43" s="14" t="s">
        <v>43</v>
      </c>
      <c r="C43" s="14" t="s">
        <v>144</v>
      </c>
      <c r="D43" s="14" t="s">
        <v>140</v>
      </c>
      <c r="E43" s="14" t="s">
        <v>61</v>
      </c>
      <c r="F43" s="14" t="n">
        <v>34</v>
      </c>
      <c r="G43" s="15" t="n">
        <v>61295</v>
      </c>
      <c r="H43" s="15" t="n">
        <v>54295</v>
      </c>
      <c r="I43" s="14" t="s">
        <v>47</v>
      </c>
      <c r="J43" s="14" t="s">
        <v>145</v>
      </c>
    </row>
    <row r="44" customFormat="false" ht="15" hidden="false" customHeight="false" outlineLevel="0" collapsed="false">
      <c r="A44" s="14" t="s">
        <v>138</v>
      </c>
      <c r="B44" s="14" t="s">
        <v>43</v>
      </c>
      <c r="C44" s="14" t="s">
        <v>146</v>
      </c>
      <c r="D44" s="14" t="s">
        <v>140</v>
      </c>
      <c r="E44" s="14" t="s">
        <v>89</v>
      </c>
      <c r="F44" s="14" t="n">
        <v>51</v>
      </c>
      <c r="G44" s="15" t="n">
        <v>54795</v>
      </c>
      <c r="H44" s="15" t="n">
        <v>48795</v>
      </c>
      <c r="I44" s="14" t="s">
        <v>47</v>
      </c>
      <c r="J44" s="14" t="s">
        <v>147</v>
      </c>
    </row>
    <row r="45" customFormat="false" ht="15" hidden="false" customHeight="false" outlineLevel="0" collapsed="false">
      <c r="A45" s="14" t="s">
        <v>138</v>
      </c>
      <c r="B45" s="14" t="s">
        <v>43</v>
      </c>
      <c r="C45" s="14" t="s">
        <v>148</v>
      </c>
      <c r="D45" s="14" t="s">
        <v>149</v>
      </c>
      <c r="E45" s="14" t="s">
        <v>53</v>
      </c>
      <c r="F45" s="14" t="n">
        <v>51</v>
      </c>
      <c r="G45" s="15" t="n">
        <v>61295</v>
      </c>
      <c r="H45" s="15" t="n">
        <v>53295</v>
      </c>
      <c r="I45" s="14" t="s">
        <v>47</v>
      </c>
      <c r="J45" s="14" t="s">
        <v>150</v>
      </c>
    </row>
    <row r="46" customFormat="false" ht="15" hidden="false" customHeight="false" outlineLevel="0" collapsed="false">
      <c r="A46" s="14" t="s">
        <v>138</v>
      </c>
      <c r="B46" s="14" t="s">
        <v>43</v>
      </c>
      <c r="C46" s="14" t="s">
        <v>151</v>
      </c>
      <c r="D46" s="14" t="s">
        <v>149</v>
      </c>
      <c r="E46" s="14" t="s">
        <v>61</v>
      </c>
      <c r="F46" s="14" t="n">
        <v>32</v>
      </c>
      <c r="G46" s="15" t="n">
        <v>59395</v>
      </c>
      <c r="H46" s="15" t="n">
        <v>51395</v>
      </c>
      <c r="I46" s="14" t="s">
        <v>47</v>
      </c>
      <c r="J46" s="14" t="s">
        <v>152</v>
      </c>
    </row>
    <row r="47" customFormat="false" ht="15" hidden="false" customHeight="false" outlineLevel="0" collapsed="false">
      <c r="A47" s="14" t="s">
        <v>138</v>
      </c>
      <c r="B47" s="14" t="s">
        <v>43</v>
      </c>
      <c r="C47" s="14" t="s">
        <v>153</v>
      </c>
      <c r="D47" s="14" t="s">
        <v>149</v>
      </c>
      <c r="E47" s="14" t="s">
        <v>61</v>
      </c>
      <c r="F47" s="14" t="n">
        <v>32</v>
      </c>
      <c r="G47" s="15" t="n">
        <v>53495</v>
      </c>
      <c r="H47" s="15" t="n">
        <v>46495</v>
      </c>
      <c r="I47" s="14" t="s">
        <v>47</v>
      </c>
      <c r="J47" s="14" t="s">
        <v>154</v>
      </c>
    </row>
    <row r="48" customFormat="false" ht="15" hidden="false" customHeight="false" outlineLevel="0" collapsed="false">
      <c r="A48" s="14" t="s">
        <v>138</v>
      </c>
      <c r="B48" s="14" t="s">
        <v>43</v>
      </c>
      <c r="C48" s="14" t="s">
        <v>155</v>
      </c>
      <c r="D48" s="14" t="s">
        <v>149</v>
      </c>
      <c r="E48" s="14" t="s">
        <v>89</v>
      </c>
      <c r="F48" s="14" t="n">
        <v>49</v>
      </c>
      <c r="G48" s="15" t="n">
        <v>47395</v>
      </c>
      <c r="H48" s="15" t="n">
        <v>41395</v>
      </c>
      <c r="I48" s="14" t="s">
        <v>47</v>
      </c>
      <c r="J48" s="14" t="s">
        <v>156</v>
      </c>
    </row>
    <row r="49" customFormat="false" ht="15" hidden="false" customHeight="false" outlineLevel="0" collapsed="false">
      <c r="A49" s="14" t="s">
        <v>138</v>
      </c>
      <c r="B49" s="14" t="s">
        <v>43</v>
      </c>
      <c r="C49" s="14" t="s">
        <v>157</v>
      </c>
      <c r="D49" s="14" t="s">
        <v>158</v>
      </c>
      <c r="E49" s="14" t="s">
        <v>46</v>
      </c>
      <c r="F49" s="14" t="n">
        <v>38</v>
      </c>
      <c r="G49" s="15" t="n">
        <v>38195</v>
      </c>
      <c r="H49" s="15" t="n">
        <v>33195</v>
      </c>
      <c r="I49" s="14" t="s">
        <v>47</v>
      </c>
      <c r="J49" s="14" t="s">
        <v>159</v>
      </c>
    </row>
    <row r="50" customFormat="false" ht="15" hidden="false" customHeight="false" outlineLevel="0" collapsed="false">
      <c r="A50" s="14" t="s">
        <v>138</v>
      </c>
      <c r="B50" s="14" t="s">
        <v>43</v>
      </c>
      <c r="C50" s="14" t="s">
        <v>160</v>
      </c>
      <c r="D50" s="14" t="s">
        <v>158</v>
      </c>
      <c r="E50" s="14" t="s">
        <v>46</v>
      </c>
      <c r="F50" s="14" t="n">
        <v>31</v>
      </c>
      <c r="G50" s="15" t="n">
        <v>34695</v>
      </c>
      <c r="H50" s="15" t="n">
        <v>30695</v>
      </c>
      <c r="I50" s="14" t="s">
        <v>47</v>
      </c>
      <c r="J50" s="14" t="s">
        <v>161</v>
      </c>
    </row>
    <row r="51" customFormat="false" ht="15" hidden="false" customHeight="false" outlineLevel="0" collapsed="false">
      <c r="A51" s="14" t="s">
        <v>138</v>
      </c>
      <c r="B51" s="14" t="s">
        <v>162</v>
      </c>
      <c r="C51" s="14" t="s">
        <v>163</v>
      </c>
      <c r="D51" s="14" t="s">
        <v>164</v>
      </c>
      <c r="E51" s="14" t="s">
        <v>61</v>
      </c>
      <c r="F51" s="14" t="n">
        <v>53</v>
      </c>
      <c r="G51" s="15" t="n">
        <v>74995</v>
      </c>
      <c r="H51" s="15" t="n">
        <v>56095</v>
      </c>
      <c r="I51" s="14" t="s">
        <v>47</v>
      </c>
      <c r="J51" s="14" t="s">
        <v>165</v>
      </c>
    </row>
    <row r="52" customFormat="false" ht="15" hidden="false" customHeight="false" outlineLevel="0" collapsed="false">
      <c r="A52" s="14" t="s">
        <v>138</v>
      </c>
      <c r="B52" s="14" t="s">
        <v>162</v>
      </c>
      <c r="C52" s="14" t="s">
        <v>166</v>
      </c>
      <c r="D52" s="14" t="s">
        <v>164</v>
      </c>
      <c r="E52" s="14" t="s">
        <v>92</v>
      </c>
      <c r="F52" s="14" t="n">
        <v>30</v>
      </c>
      <c r="G52" s="15" t="n">
        <v>65495</v>
      </c>
      <c r="H52" s="15" t="n">
        <v>50095</v>
      </c>
      <c r="I52" s="14" t="s">
        <v>47</v>
      </c>
      <c r="J52" s="14" t="s">
        <v>167</v>
      </c>
    </row>
    <row r="53" customFormat="false" ht="15" hidden="false" customHeight="false" outlineLevel="0" collapsed="false">
      <c r="A53" s="14" t="s">
        <v>138</v>
      </c>
      <c r="B53" s="14" t="s">
        <v>162</v>
      </c>
      <c r="C53" s="14" t="s">
        <v>168</v>
      </c>
      <c r="D53" s="14" t="s">
        <v>164</v>
      </c>
      <c r="E53" s="14" t="s">
        <v>92</v>
      </c>
      <c r="F53" s="14" t="n">
        <v>30</v>
      </c>
      <c r="G53" s="15" t="n">
        <v>57495</v>
      </c>
      <c r="H53" s="15" t="n">
        <v>44795</v>
      </c>
      <c r="I53" s="14" t="s">
        <v>47</v>
      </c>
      <c r="J53" s="14" t="s">
        <v>169</v>
      </c>
    </row>
    <row r="54" customFormat="false" ht="15" hidden="false" customHeight="false" outlineLevel="0" collapsed="false">
      <c r="A54" s="14" t="s">
        <v>138</v>
      </c>
      <c r="B54" s="14" t="s">
        <v>162</v>
      </c>
      <c r="C54" s="14" t="s">
        <v>170</v>
      </c>
      <c r="D54" s="14" t="s">
        <v>171</v>
      </c>
      <c r="E54" s="14" t="s">
        <v>92</v>
      </c>
      <c r="F54" s="14" t="n">
        <v>28</v>
      </c>
      <c r="G54" s="15" t="n">
        <v>58495</v>
      </c>
      <c r="H54" s="15" t="n">
        <v>43795</v>
      </c>
      <c r="I54" s="14" t="s">
        <v>47</v>
      </c>
      <c r="J54" s="14" t="s">
        <v>172</v>
      </c>
    </row>
    <row r="55" customFormat="false" ht="15" hidden="false" customHeight="false" outlineLevel="0" collapsed="false">
      <c r="A55" s="14" t="s">
        <v>138</v>
      </c>
      <c r="B55" s="14" t="s">
        <v>162</v>
      </c>
      <c r="C55" s="14" t="s">
        <v>173</v>
      </c>
      <c r="D55" s="14" t="s">
        <v>171</v>
      </c>
      <c r="E55" s="14" t="s">
        <v>92</v>
      </c>
      <c r="F55" s="14" t="n">
        <v>28</v>
      </c>
      <c r="G55" s="15" t="n">
        <v>49995</v>
      </c>
      <c r="H55" s="15" t="n">
        <v>38095</v>
      </c>
      <c r="I55" s="14" t="s">
        <v>47</v>
      </c>
      <c r="J55" s="14" t="s">
        <v>174</v>
      </c>
    </row>
    <row r="56" customFormat="false" ht="15" hidden="false" customHeight="false" outlineLevel="0" collapsed="false">
      <c r="A56" s="14" t="s">
        <v>175</v>
      </c>
      <c r="B56" s="14" t="s">
        <v>176</v>
      </c>
      <c r="C56" s="14" t="s">
        <v>177</v>
      </c>
      <c r="D56" s="14" t="s">
        <v>178</v>
      </c>
      <c r="E56" s="14" t="s">
        <v>179</v>
      </c>
      <c r="F56" s="14" t="s">
        <v>180</v>
      </c>
      <c r="G56" s="15" t="n">
        <v>4599</v>
      </c>
      <c r="H56" s="14"/>
      <c r="I56" s="14" t="s">
        <v>181</v>
      </c>
      <c r="J56" s="14" t="s">
        <v>182</v>
      </c>
    </row>
    <row r="57" customFormat="false" ht="15" hidden="false" customHeight="false" outlineLevel="0" collapsed="false">
      <c r="A57" s="14" t="s">
        <v>175</v>
      </c>
      <c r="B57" s="14" t="s">
        <v>176</v>
      </c>
      <c r="C57" s="14" t="s">
        <v>183</v>
      </c>
      <c r="D57" s="14" t="s">
        <v>178</v>
      </c>
      <c r="E57" s="14" t="s">
        <v>184</v>
      </c>
      <c r="F57" s="14" t="s">
        <v>180</v>
      </c>
      <c r="G57" s="15" t="n">
        <v>6399</v>
      </c>
      <c r="H57" s="14"/>
      <c r="I57" s="14" t="s">
        <v>181</v>
      </c>
      <c r="J57" s="14" t="s">
        <v>185</v>
      </c>
    </row>
    <row r="58" customFormat="false" ht="15" hidden="false" customHeight="false" outlineLevel="0" collapsed="false">
      <c r="A58" s="14" t="s">
        <v>175</v>
      </c>
      <c r="B58" s="14" t="s">
        <v>176</v>
      </c>
      <c r="C58" s="14" t="s">
        <v>186</v>
      </c>
      <c r="D58" s="14" t="s">
        <v>178</v>
      </c>
      <c r="E58" s="14" t="s">
        <v>92</v>
      </c>
      <c r="F58" s="14" t="s">
        <v>180</v>
      </c>
      <c r="G58" s="15" t="n">
        <v>6799</v>
      </c>
      <c r="H58" s="14"/>
      <c r="I58" s="14" t="s">
        <v>181</v>
      </c>
      <c r="J58" s="14" t="s">
        <v>187</v>
      </c>
    </row>
    <row r="59" customFormat="false" ht="15" hidden="false" customHeight="false" outlineLevel="0" collapsed="false">
      <c r="A59" s="14" t="s">
        <v>175</v>
      </c>
      <c r="B59" s="14" t="s">
        <v>176</v>
      </c>
      <c r="C59" s="14" t="s">
        <v>188</v>
      </c>
      <c r="D59" s="14" t="s">
        <v>178</v>
      </c>
      <c r="E59" s="14" t="s">
        <v>92</v>
      </c>
      <c r="F59" s="14" t="s">
        <v>180</v>
      </c>
      <c r="G59" s="15" t="n">
        <v>6799</v>
      </c>
      <c r="H59" s="14"/>
      <c r="I59" s="14" t="s">
        <v>181</v>
      </c>
      <c r="J59" s="14" t="s">
        <v>189</v>
      </c>
    </row>
    <row r="60" customFormat="false" ht="15" hidden="false" customHeight="false" outlineLevel="0" collapsed="false">
      <c r="A60" s="14" t="s">
        <v>175</v>
      </c>
      <c r="B60" s="14" t="s">
        <v>176</v>
      </c>
      <c r="C60" s="14" t="s">
        <v>190</v>
      </c>
      <c r="D60" s="14" t="s">
        <v>178</v>
      </c>
      <c r="E60" s="14" t="s">
        <v>61</v>
      </c>
      <c r="F60" s="14" t="s">
        <v>180</v>
      </c>
      <c r="G60" s="15" t="n">
        <v>7399</v>
      </c>
      <c r="H60" s="14"/>
      <c r="I60" s="14" t="s">
        <v>181</v>
      </c>
      <c r="J60" s="14" t="s">
        <v>191</v>
      </c>
    </row>
    <row r="61" customFormat="false" ht="15" hidden="false" customHeight="false" outlineLevel="0" collapsed="false">
      <c r="A61" s="14" t="s">
        <v>175</v>
      </c>
      <c r="B61" s="14" t="s">
        <v>176</v>
      </c>
      <c r="C61" s="14" t="s">
        <v>192</v>
      </c>
      <c r="D61" s="14" t="s">
        <v>178</v>
      </c>
      <c r="E61" s="14" t="s">
        <v>61</v>
      </c>
      <c r="F61" s="14" t="s">
        <v>180</v>
      </c>
      <c r="G61" s="15" t="n">
        <v>8399</v>
      </c>
      <c r="H61" s="14"/>
      <c r="I61" s="14" t="s">
        <v>181</v>
      </c>
      <c r="J61" s="14" t="s">
        <v>193</v>
      </c>
    </row>
    <row r="62" customFormat="false" ht="15" hidden="false" customHeight="false" outlineLevel="0" collapsed="false">
      <c r="A62" s="14" t="s">
        <v>175</v>
      </c>
      <c r="B62" s="14" t="s">
        <v>176</v>
      </c>
      <c r="C62" s="14" t="s">
        <v>194</v>
      </c>
      <c r="D62" s="14" t="s">
        <v>178</v>
      </c>
      <c r="E62" s="14" t="s">
        <v>61</v>
      </c>
      <c r="F62" s="14" t="s">
        <v>180</v>
      </c>
      <c r="G62" s="15" t="n">
        <v>8599</v>
      </c>
      <c r="H62" s="14"/>
      <c r="I62" s="14" t="s">
        <v>181</v>
      </c>
      <c r="J62" s="14" t="s">
        <v>195</v>
      </c>
    </row>
    <row r="63" customFormat="false" ht="15" hidden="false" customHeight="false" outlineLevel="0" collapsed="false">
      <c r="A63" s="14" t="s">
        <v>196</v>
      </c>
      <c r="B63" s="14" t="s">
        <v>197</v>
      </c>
      <c r="C63" s="14" t="s">
        <v>198</v>
      </c>
      <c r="D63" s="14" t="s">
        <v>197</v>
      </c>
      <c r="E63" s="14" t="s">
        <v>199</v>
      </c>
      <c r="F63" s="14" t="s">
        <v>180</v>
      </c>
      <c r="G63" s="15" t="n">
        <v>15995</v>
      </c>
      <c r="H63" s="15" t="n">
        <v>14995</v>
      </c>
      <c r="I63" s="14" t="s">
        <v>200</v>
      </c>
      <c r="J63" s="14" t="s">
        <v>201</v>
      </c>
    </row>
    <row r="64" customFormat="false" ht="15" hidden="false" customHeight="false" outlineLevel="0" collapsed="false">
      <c r="A64" s="14" t="s">
        <v>196</v>
      </c>
      <c r="B64" s="14" t="s">
        <v>197</v>
      </c>
      <c r="C64" s="14" t="s">
        <v>202</v>
      </c>
      <c r="D64" s="14" t="s">
        <v>197</v>
      </c>
      <c r="E64" s="14" t="s">
        <v>199</v>
      </c>
      <c r="F64" s="14" t="s">
        <v>180</v>
      </c>
      <c r="G64" s="15" t="n">
        <v>18495</v>
      </c>
      <c r="H64" s="15" t="n">
        <v>17495</v>
      </c>
      <c r="I64" s="14" t="s">
        <v>200</v>
      </c>
      <c r="J64" s="14" t="s">
        <v>201</v>
      </c>
    </row>
    <row r="65" customFormat="false" ht="15" hidden="false" customHeight="false" outlineLevel="0" collapsed="false">
      <c r="A65" s="14" t="s">
        <v>203</v>
      </c>
      <c r="B65" s="14" t="s">
        <v>204</v>
      </c>
      <c r="C65" s="14" t="s">
        <v>205</v>
      </c>
      <c r="D65" s="14" t="s">
        <v>180</v>
      </c>
      <c r="E65" s="14" t="s">
        <v>206</v>
      </c>
      <c r="F65" s="14" t="s">
        <v>180</v>
      </c>
      <c r="G65" s="14"/>
      <c r="H65" s="14"/>
      <c r="I65" s="14" t="s">
        <v>207</v>
      </c>
      <c r="J65" s="14" t="s">
        <v>208</v>
      </c>
    </row>
    <row r="66" customFormat="false" ht="15" hidden="false" customHeight="false" outlineLevel="0" collapsed="false">
      <c r="A66" s="14" t="s">
        <v>203</v>
      </c>
      <c r="B66" s="14" t="s">
        <v>204</v>
      </c>
      <c r="C66" s="14" t="s">
        <v>209</v>
      </c>
      <c r="D66" s="14" t="s">
        <v>180</v>
      </c>
      <c r="E66" s="14" t="s">
        <v>206</v>
      </c>
      <c r="F66" s="14" t="s">
        <v>180</v>
      </c>
      <c r="G66" s="14"/>
      <c r="H66" s="14"/>
      <c r="I66" s="14" t="s">
        <v>207</v>
      </c>
      <c r="J66" s="14" t="s">
        <v>210</v>
      </c>
    </row>
    <row r="67" customFormat="false" ht="15" hidden="false" customHeight="false" outlineLevel="0" collapsed="false">
      <c r="A67" s="14" t="s">
        <v>203</v>
      </c>
      <c r="B67" s="14" t="s">
        <v>204</v>
      </c>
      <c r="C67" s="14" t="s">
        <v>211</v>
      </c>
      <c r="D67" s="14" t="s">
        <v>180</v>
      </c>
      <c r="E67" s="14" t="s">
        <v>212</v>
      </c>
      <c r="F67" s="14" t="s">
        <v>180</v>
      </c>
      <c r="G67" s="14"/>
      <c r="H67" s="14"/>
      <c r="I67" s="14" t="s">
        <v>207</v>
      </c>
      <c r="J67" s="14" t="s">
        <v>213</v>
      </c>
    </row>
    <row r="68" customFormat="false" ht="15" hidden="false" customHeight="false" outlineLevel="0" collapsed="false">
      <c r="A68" s="14" t="s">
        <v>203</v>
      </c>
      <c r="B68" s="14" t="s">
        <v>204</v>
      </c>
      <c r="C68" s="14" t="s">
        <v>214</v>
      </c>
      <c r="D68" s="14" t="s">
        <v>180</v>
      </c>
      <c r="E68" s="14" t="s">
        <v>215</v>
      </c>
      <c r="F68" s="14" t="s">
        <v>180</v>
      </c>
      <c r="G68" s="14"/>
      <c r="H68" s="14"/>
      <c r="I68" s="14" t="s">
        <v>207</v>
      </c>
      <c r="J68" s="14" t="s">
        <v>216</v>
      </c>
    </row>
    <row r="69" customFormat="false" ht="15" hidden="false" customHeight="false" outlineLevel="0" collapsed="false">
      <c r="A69" s="14" t="s">
        <v>217</v>
      </c>
      <c r="B69" s="14" t="s">
        <v>116</v>
      </c>
      <c r="C69" s="14" t="s">
        <v>218</v>
      </c>
      <c r="D69" s="14" t="s">
        <v>180</v>
      </c>
      <c r="E69" s="14" t="s">
        <v>180</v>
      </c>
      <c r="F69" s="14" t="s">
        <v>180</v>
      </c>
      <c r="G69" s="14"/>
      <c r="H69" s="14"/>
      <c r="I69" s="14" t="s">
        <v>207</v>
      </c>
      <c r="J69" s="14" t="s">
        <v>219</v>
      </c>
    </row>
    <row r="70" customFormat="false" ht="15" hidden="false" customHeight="false" outlineLevel="0" collapsed="false">
      <c r="A70" s="14" t="s">
        <v>217</v>
      </c>
      <c r="B70" s="14" t="s">
        <v>116</v>
      </c>
      <c r="C70" s="14" t="s">
        <v>220</v>
      </c>
      <c r="D70" s="14" t="s">
        <v>180</v>
      </c>
      <c r="E70" s="14" t="s">
        <v>180</v>
      </c>
      <c r="F70" s="14" t="s">
        <v>180</v>
      </c>
      <c r="G70" s="14"/>
      <c r="H70" s="14"/>
      <c r="I70" s="14" t="s">
        <v>207</v>
      </c>
      <c r="J70" s="14" t="s">
        <v>221</v>
      </c>
    </row>
    <row r="71" customFormat="false" ht="15" hidden="false" customHeight="false" outlineLevel="0" collapsed="false">
      <c r="A71" s="14" t="s">
        <v>222</v>
      </c>
      <c r="B71" s="14" t="s">
        <v>223</v>
      </c>
      <c r="C71" s="14" t="s">
        <v>224</v>
      </c>
      <c r="D71" s="14" t="s">
        <v>180</v>
      </c>
      <c r="E71" s="14" t="s">
        <v>180</v>
      </c>
      <c r="F71" s="14" t="s">
        <v>180</v>
      </c>
      <c r="G71" s="14"/>
      <c r="H71" s="14"/>
      <c r="I71" s="14" t="s">
        <v>207</v>
      </c>
      <c r="J71" s="14" t="s">
        <v>225</v>
      </c>
    </row>
    <row r="72" customFormat="false" ht="15" hidden="false" customHeight="false" outlineLevel="0" collapsed="false">
      <c r="A72" s="14" t="s">
        <v>222</v>
      </c>
      <c r="B72" s="14" t="s">
        <v>223</v>
      </c>
      <c r="C72" s="14" t="s">
        <v>226</v>
      </c>
      <c r="D72" s="14" t="s">
        <v>180</v>
      </c>
      <c r="E72" s="14" t="s">
        <v>180</v>
      </c>
      <c r="F72" s="14" t="s">
        <v>180</v>
      </c>
      <c r="G72" s="14"/>
      <c r="H72" s="14"/>
      <c r="I72" s="14" t="s">
        <v>207</v>
      </c>
      <c r="J72" s="14" t="s">
        <v>227</v>
      </c>
    </row>
    <row r="73" customFormat="false" ht="15" hidden="false" customHeight="false" outlineLevel="0" collapsed="false">
      <c r="A73" s="14" t="s">
        <v>222</v>
      </c>
      <c r="B73" s="14" t="s">
        <v>223</v>
      </c>
      <c r="C73" s="14" t="s">
        <v>228</v>
      </c>
      <c r="D73" s="14" t="s">
        <v>180</v>
      </c>
      <c r="E73" s="14" t="s">
        <v>180</v>
      </c>
      <c r="F73" s="14" t="s">
        <v>180</v>
      </c>
      <c r="G73" s="14"/>
      <c r="H73" s="14"/>
      <c r="I73" s="14" t="s">
        <v>207</v>
      </c>
      <c r="J73" s="14" t="s">
        <v>229</v>
      </c>
    </row>
    <row r="74" customFormat="false" ht="15" hidden="false" customHeight="false" outlineLevel="0" collapsed="false">
      <c r="A74" s="14" t="s">
        <v>222</v>
      </c>
      <c r="B74" s="14" t="s">
        <v>223</v>
      </c>
      <c r="C74" s="14" t="s">
        <v>230</v>
      </c>
      <c r="D74" s="14" t="s">
        <v>180</v>
      </c>
      <c r="E74" s="14" t="s">
        <v>180</v>
      </c>
      <c r="F74" s="14" t="s">
        <v>180</v>
      </c>
      <c r="G74" s="14"/>
      <c r="H74" s="14"/>
      <c r="I74" s="14" t="s">
        <v>207</v>
      </c>
      <c r="J74" s="14" t="s">
        <v>231</v>
      </c>
    </row>
    <row r="75" customFormat="false" ht="15" hidden="false" customHeight="false" outlineLevel="0" collapsed="false">
      <c r="A75" s="14" t="s">
        <v>222</v>
      </c>
      <c r="B75" s="14" t="s">
        <v>223</v>
      </c>
      <c r="C75" s="14" t="s">
        <v>232</v>
      </c>
      <c r="D75" s="14" t="s">
        <v>180</v>
      </c>
      <c r="E75" s="14" t="s">
        <v>180</v>
      </c>
      <c r="F75" s="14" t="s">
        <v>180</v>
      </c>
      <c r="G75" s="14"/>
      <c r="H75" s="14"/>
      <c r="I75" s="14" t="s">
        <v>207</v>
      </c>
      <c r="J75" s="14" t="s">
        <v>233</v>
      </c>
    </row>
    <row r="76" customFormat="false" ht="15" hidden="false" customHeight="false" outlineLevel="0" collapsed="false">
      <c r="A76" s="14" t="s">
        <v>222</v>
      </c>
      <c r="B76" s="14" t="s">
        <v>223</v>
      </c>
      <c r="C76" s="14" t="s">
        <v>234</v>
      </c>
      <c r="D76" s="14" t="s">
        <v>180</v>
      </c>
      <c r="E76" s="14" t="s">
        <v>180</v>
      </c>
      <c r="F76" s="14" t="s">
        <v>180</v>
      </c>
      <c r="G76" s="14"/>
      <c r="H76" s="14"/>
      <c r="I76" s="14" t="s">
        <v>207</v>
      </c>
      <c r="J76" s="14" t="s">
        <v>235</v>
      </c>
    </row>
  </sheetData>
  <autoFilter ref="A4:J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7" min="16" style="0" width="26"/>
    <col collapsed="false" customWidth="true" hidden="false" outlineLevel="0" max="18" min="18" style="0" width="30"/>
    <col collapsed="false" customWidth="true" hidden="false" outlineLevel="0" max="19" min="19" style="0" width="40"/>
    <col collapsed="false" customWidth="true" hidden="false" outlineLevel="0" max="20" min="20" style="0" width="46"/>
  </cols>
  <sheetData>
    <row r="1" customFormat="false" ht="19.7" hidden="false" customHeight="false" outlineLevel="0" collapsed="false">
      <c r="A1" s="11" t="s">
        <v>13</v>
      </c>
    </row>
    <row r="2" customFormat="false" ht="15" hidden="false" customHeight="false" outlineLevel="0" collapsed="false">
      <c r="A2" s="12" t="s">
        <v>236</v>
      </c>
    </row>
    <row r="4" customFormat="false" ht="35.05" hidden="false" customHeight="false" outlineLevel="0" collapsed="false">
      <c r="A4" s="13" t="s">
        <v>32</v>
      </c>
      <c r="B4" s="13" t="s">
        <v>33</v>
      </c>
      <c r="C4" s="13" t="s">
        <v>34</v>
      </c>
      <c r="D4" s="13" t="s">
        <v>237</v>
      </c>
      <c r="E4" s="13" t="s">
        <v>238</v>
      </c>
      <c r="F4" s="13" t="s">
        <v>37</v>
      </c>
      <c r="G4" s="13" t="s">
        <v>239</v>
      </c>
      <c r="H4" s="13" t="s">
        <v>38</v>
      </c>
      <c r="I4" s="13" t="s">
        <v>240</v>
      </c>
      <c r="J4" s="13" t="s">
        <v>241</v>
      </c>
      <c r="K4" s="13" t="s">
        <v>242</v>
      </c>
      <c r="L4" s="13" t="s">
        <v>243</v>
      </c>
      <c r="M4" s="13" t="s">
        <v>244</v>
      </c>
      <c r="N4" s="13" t="s">
        <v>245</v>
      </c>
      <c r="O4" s="13" t="s">
        <v>246</v>
      </c>
      <c r="P4" s="13" t="s">
        <v>247</v>
      </c>
      <c r="Q4" s="13" t="s">
        <v>248</v>
      </c>
      <c r="R4" s="13" t="s">
        <v>249</v>
      </c>
      <c r="S4" s="13" t="s">
        <v>250</v>
      </c>
      <c r="T4" s="13" t="s">
        <v>41</v>
      </c>
    </row>
    <row r="5" customFormat="false" ht="23.85" hidden="false" customHeight="false" outlineLevel="0" collapsed="false">
      <c r="A5" s="14" t="s">
        <v>42</v>
      </c>
      <c r="B5" s="14" t="s">
        <v>43</v>
      </c>
      <c r="C5" s="14" t="s">
        <v>44</v>
      </c>
      <c r="D5" s="14" t="s">
        <v>45</v>
      </c>
      <c r="E5" s="14" t="n">
        <v>8</v>
      </c>
      <c r="F5" s="14" t="n">
        <v>76</v>
      </c>
      <c r="G5" s="14" t="s">
        <v>251</v>
      </c>
      <c r="H5" s="15" t="n">
        <v>47595</v>
      </c>
      <c r="I5" s="15" t="n">
        <v>39595</v>
      </c>
      <c r="J5" s="14" t="n">
        <v>76.28</v>
      </c>
      <c r="K5" s="14" t="s">
        <v>252</v>
      </c>
      <c r="L5" s="14" t="n">
        <v>505</v>
      </c>
      <c r="M5" s="14" t="n">
        <v>1912</v>
      </c>
      <c r="N5" s="14" t="n">
        <v>1275</v>
      </c>
      <c r="O5" s="14" t="n">
        <v>5487</v>
      </c>
      <c r="P5" s="16" t="s">
        <v>253</v>
      </c>
      <c r="Q5" s="16" t="s">
        <v>254</v>
      </c>
      <c r="R5" s="16"/>
      <c r="S5" s="16"/>
      <c r="T5" s="14" t="s">
        <v>48</v>
      </c>
    </row>
    <row r="6" customFormat="false" ht="23.85" hidden="false" customHeight="false" outlineLevel="0" collapsed="false">
      <c r="A6" s="14" t="s">
        <v>42</v>
      </c>
      <c r="B6" s="14" t="s">
        <v>43</v>
      </c>
      <c r="C6" s="14" t="s">
        <v>49</v>
      </c>
      <c r="D6" s="14" t="s">
        <v>45</v>
      </c>
      <c r="E6" s="14" t="n">
        <v>7</v>
      </c>
      <c r="F6" s="14" t="n">
        <v>56</v>
      </c>
      <c r="G6" s="14" t="s">
        <v>251</v>
      </c>
      <c r="H6" s="15" t="n">
        <v>43695</v>
      </c>
      <c r="I6" s="15" t="n">
        <v>35695</v>
      </c>
      <c r="J6" s="14" t="n">
        <v>68.79</v>
      </c>
      <c r="K6" s="14" t="s">
        <v>255</v>
      </c>
      <c r="L6" s="14" t="n">
        <v>425</v>
      </c>
      <c r="M6" s="14" t="n">
        <v>1609</v>
      </c>
      <c r="N6" s="14" t="n">
        <v>1045</v>
      </c>
      <c r="O6" s="14" t="n">
        <v>4590</v>
      </c>
      <c r="P6" s="16" t="s">
        <v>253</v>
      </c>
      <c r="Q6" s="16" t="s">
        <v>254</v>
      </c>
      <c r="R6" s="16"/>
      <c r="S6" s="16"/>
      <c r="T6" s="14" t="s">
        <v>51</v>
      </c>
    </row>
    <row r="7" customFormat="false" ht="23.85" hidden="false" customHeight="false" outlineLevel="0" collapsed="false">
      <c r="A7" s="14" t="s">
        <v>42</v>
      </c>
      <c r="B7" s="14" t="s">
        <v>43</v>
      </c>
      <c r="C7" s="14" t="s">
        <v>52</v>
      </c>
      <c r="D7" s="14" t="s">
        <v>45</v>
      </c>
      <c r="E7" s="14" t="n">
        <v>6</v>
      </c>
      <c r="F7" s="14" t="n">
        <v>60</v>
      </c>
      <c r="G7" s="14" t="s">
        <v>251</v>
      </c>
      <c r="H7" s="15" t="n">
        <v>43695</v>
      </c>
      <c r="I7" s="15" t="n">
        <v>35695</v>
      </c>
      <c r="J7" s="14" t="n">
        <v>68.79</v>
      </c>
      <c r="K7" s="14" t="s">
        <v>255</v>
      </c>
      <c r="L7" s="14" t="n">
        <v>420</v>
      </c>
      <c r="M7" s="14" t="n">
        <v>1590</v>
      </c>
      <c r="N7" s="14" t="n">
        <v>1065</v>
      </c>
      <c r="O7" s="14" t="n">
        <v>4568</v>
      </c>
      <c r="P7" s="16" t="s">
        <v>253</v>
      </c>
      <c r="Q7" s="16" t="s">
        <v>254</v>
      </c>
      <c r="R7" s="16"/>
      <c r="S7" s="16"/>
      <c r="T7" s="14" t="s">
        <v>54</v>
      </c>
    </row>
    <row r="8" customFormat="false" ht="15" hidden="false" customHeight="false" outlineLevel="0" collapsed="false">
      <c r="A8" s="14" t="s">
        <v>42</v>
      </c>
      <c r="B8" s="14" t="s">
        <v>43</v>
      </c>
      <c r="C8" s="14" t="s">
        <v>55</v>
      </c>
      <c r="D8" s="14" t="s">
        <v>56</v>
      </c>
      <c r="E8" s="14" t="n">
        <v>7</v>
      </c>
      <c r="F8" s="14" t="n">
        <v>41</v>
      </c>
      <c r="G8" s="14" t="s">
        <v>251</v>
      </c>
      <c r="H8" s="15" t="n">
        <v>36995</v>
      </c>
      <c r="I8" s="15" t="n">
        <v>29995</v>
      </c>
      <c r="J8" s="14" t="n">
        <v>57.85</v>
      </c>
      <c r="K8" s="14" t="s">
        <v>256</v>
      </c>
      <c r="L8" s="14" t="n">
        <v>325</v>
      </c>
      <c r="M8" s="14" t="n">
        <v>1231</v>
      </c>
      <c r="N8" s="14" t="n">
        <v>855</v>
      </c>
      <c r="O8" s="14" t="n">
        <v>3566</v>
      </c>
      <c r="P8" s="16" t="s">
        <v>257</v>
      </c>
      <c r="Q8" s="16" t="s">
        <v>258</v>
      </c>
      <c r="R8" s="16"/>
      <c r="S8" s="16"/>
      <c r="T8" s="14" t="s">
        <v>57</v>
      </c>
    </row>
    <row r="9" customFormat="false" ht="15" hidden="false" customHeight="false" outlineLevel="0" collapsed="false">
      <c r="A9" s="14" t="s">
        <v>42</v>
      </c>
      <c r="B9" s="14" t="s">
        <v>43</v>
      </c>
      <c r="C9" s="14" t="s">
        <v>58</v>
      </c>
      <c r="D9" s="14" t="s">
        <v>56</v>
      </c>
      <c r="E9" s="14" t="n">
        <v>6</v>
      </c>
      <c r="F9" s="14" t="n">
        <v>39</v>
      </c>
      <c r="G9" s="14" t="s">
        <v>259</v>
      </c>
      <c r="H9" s="15" t="n">
        <v>36995</v>
      </c>
      <c r="I9" s="15" t="n">
        <v>29995</v>
      </c>
      <c r="J9" s="14" t="n">
        <v>57.85</v>
      </c>
      <c r="K9" s="14" t="s">
        <v>256</v>
      </c>
      <c r="L9" s="14" t="n">
        <v>325</v>
      </c>
      <c r="M9" s="14" t="n">
        <v>1231</v>
      </c>
      <c r="N9" s="14" t="n">
        <v>914</v>
      </c>
      <c r="O9" s="14" t="n">
        <v>3625</v>
      </c>
      <c r="P9" s="16" t="s">
        <v>257</v>
      </c>
      <c r="Q9" s="16" t="s">
        <v>258</v>
      </c>
      <c r="R9" s="16"/>
      <c r="S9" s="16"/>
      <c r="T9" s="14" t="s">
        <v>59</v>
      </c>
    </row>
    <row r="10" customFormat="false" ht="15" hidden="false" customHeight="false" outlineLevel="0" collapsed="false">
      <c r="A10" s="14" t="s">
        <v>42</v>
      </c>
      <c r="B10" s="14" t="s">
        <v>43</v>
      </c>
      <c r="C10" s="14" t="s">
        <v>60</v>
      </c>
      <c r="D10" s="14" t="s">
        <v>56</v>
      </c>
      <c r="E10" s="14" t="n">
        <v>4</v>
      </c>
      <c r="F10" s="14" t="n">
        <v>32</v>
      </c>
      <c r="G10" s="14" t="s">
        <v>259</v>
      </c>
      <c r="H10" s="15" t="n">
        <v>32195</v>
      </c>
      <c r="I10" s="15" t="n">
        <v>25195</v>
      </c>
      <c r="J10" s="14" t="n">
        <v>48.64</v>
      </c>
      <c r="K10" s="14" t="s">
        <v>260</v>
      </c>
      <c r="L10" s="14" t="n">
        <v>240</v>
      </c>
      <c r="M10" s="14" t="n">
        <v>909</v>
      </c>
      <c r="N10" s="14" t="n">
        <v>690</v>
      </c>
      <c r="O10" s="14" t="n">
        <v>2692</v>
      </c>
      <c r="P10" s="16" t="s">
        <v>257</v>
      </c>
      <c r="Q10" s="16" t="s">
        <v>258</v>
      </c>
      <c r="R10" s="16"/>
      <c r="S10" s="16"/>
      <c r="T10" s="14" t="s">
        <v>62</v>
      </c>
    </row>
    <row r="11" customFormat="false" ht="15" hidden="false" customHeight="false" outlineLevel="0" collapsed="false">
      <c r="A11" s="14" t="s">
        <v>42</v>
      </c>
      <c r="B11" s="14" t="s">
        <v>43</v>
      </c>
      <c r="C11" s="14" t="s">
        <v>63</v>
      </c>
      <c r="D11" s="14" t="s">
        <v>64</v>
      </c>
      <c r="E11" s="14" t="n">
        <v>9</v>
      </c>
      <c r="F11" s="14" t="n">
        <v>71</v>
      </c>
      <c r="G11" s="14" t="s">
        <v>251</v>
      </c>
      <c r="H11" s="15" t="n">
        <v>43595</v>
      </c>
      <c r="I11" s="15" t="n">
        <v>34595</v>
      </c>
      <c r="J11" s="14" t="n">
        <v>60.8</v>
      </c>
      <c r="K11" s="14" t="s">
        <v>261</v>
      </c>
      <c r="L11" s="14" t="n">
        <v>670</v>
      </c>
      <c r="M11" s="14" t="n">
        <v>2536</v>
      </c>
      <c r="N11" s="14" t="n">
        <v>1091</v>
      </c>
      <c r="O11" s="14" t="n">
        <v>6679</v>
      </c>
      <c r="P11" s="16" t="s">
        <v>262</v>
      </c>
      <c r="Q11" s="16" t="s">
        <v>258</v>
      </c>
      <c r="R11" s="16"/>
      <c r="S11" s="16" t="s">
        <v>263</v>
      </c>
      <c r="T11" s="14" t="s">
        <v>66</v>
      </c>
    </row>
    <row r="12" customFormat="false" ht="15" hidden="false" customHeight="false" outlineLevel="0" collapsed="false">
      <c r="A12" s="14" t="s">
        <v>42</v>
      </c>
      <c r="B12" s="14" t="s">
        <v>43</v>
      </c>
      <c r="C12" s="14" t="s">
        <v>67</v>
      </c>
      <c r="D12" s="14" t="s">
        <v>64</v>
      </c>
      <c r="E12" s="14" t="n">
        <v>7</v>
      </c>
      <c r="F12" s="14" t="n">
        <v>49</v>
      </c>
      <c r="G12" s="14" t="s">
        <v>251</v>
      </c>
      <c r="H12" s="15" t="n">
        <v>39795</v>
      </c>
      <c r="I12" s="15" t="n">
        <v>30795</v>
      </c>
      <c r="J12" s="14" t="n">
        <v>51.11</v>
      </c>
      <c r="K12" s="14" t="s">
        <v>264</v>
      </c>
      <c r="L12" s="14" t="n">
        <v>530</v>
      </c>
      <c r="M12" s="14" t="n">
        <v>2006</v>
      </c>
      <c r="N12" s="14" t="n">
        <v>916</v>
      </c>
      <c r="O12" s="14" t="n">
        <v>5336</v>
      </c>
      <c r="P12" s="16" t="s">
        <v>262</v>
      </c>
      <c r="Q12" s="16" t="s">
        <v>258</v>
      </c>
      <c r="R12" s="16"/>
      <c r="S12" s="16" t="s">
        <v>265</v>
      </c>
      <c r="T12" s="14" t="s">
        <v>68</v>
      </c>
    </row>
    <row r="13" customFormat="false" ht="15" hidden="false" customHeight="false" outlineLevel="0" collapsed="false">
      <c r="A13" s="14" t="s">
        <v>42</v>
      </c>
      <c r="B13" s="14" t="s">
        <v>43</v>
      </c>
      <c r="C13" s="14" t="s">
        <v>69</v>
      </c>
      <c r="D13" s="14" t="s">
        <v>64</v>
      </c>
      <c r="E13" s="14" t="n">
        <v>7</v>
      </c>
      <c r="F13" s="14" t="n">
        <v>55</v>
      </c>
      <c r="G13" s="14" t="s">
        <v>259</v>
      </c>
      <c r="H13" s="15" t="n">
        <v>39795</v>
      </c>
      <c r="I13" s="15" t="n">
        <v>30795</v>
      </c>
      <c r="J13" s="14" t="n">
        <v>51.11</v>
      </c>
      <c r="K13" s="14" t="s">
        <v>264</v>
      </c>
      <c r="L13" s="14" t="n">
        <v>535</v>
      </c>
      <c r="M13" s="14" t="n">
        <v>2025</v>
      </c>
      <c r="N13" s="14" t="n">
        <v>925</v>
      </c>
      <c r="O13" s="14" t="n">
        <v>5387</v>
      </c>
      <c r="P13" s="16" t="s">
        <v>262</v>
      </c>
      <c r="Q13" s="16" t="s">
        <v>258</v>
      </c>
      <c r="R13" s="16"/>
      <c r="S13" s="16" t="s">
        <v>265</v>
      </c>
      <c r="T13" s="14" t="s">
        <v>70</v>
      </c>
    </row>
    <row r="14" customFormat="false" ht="15" hidden="false" customHeight="false" outlineLevel="0" collapsed="false">
      <c r="A14" s="14" t="s">
        <v>42</v>
      </c>
      <c r="B14" s="14" t="s">
        <v>43</v>
      </c>
      <c r="C14" s="14" t="s">
        <v>71</v>
      </c>
      <c r="D14" s="14" t="s">
        <v>64</v>
      </c>
      <c r="E14" s="14" t="n">
        <v>6</v>
      </c>
      <c r="F14" s="14" t="n">
        <v>45</v>
      </c>
      <c r="G14" s="14" t="s">
        <v>251</v>
      </c>
      <c r="H14" s="15" t="n">
        <v>36895</v>
      </c>
      <c r="I14" s="15" t="n">
        <v>27895</v>
      </c>
      <c r="J14" s="14" t="n">
        <v>46.74</v>
      </c>
      <c r="K14" s="14" t="s">
        <v>266</v>
      </c>
      <c r="L14" s="14" t="n">
        <v>440</v>
      </c>
      <c r="M14" s="14" t="n">
        <v>1666</v>
      </c>
      <c r="N14" s="14" t="n">
        <v>855</v>
      </c>
      <c r="O14" s="14" t="n">
        <v>4525</v>
      </c>
      <c r="P14" s="16" t="s">
        <v>262</v>
      </c>
      <c r="Q14" s="16" t="s">
        <v>258</v>
      </c>
      <c r="R14" s="16"/>
      <c r="S14" s="16" t="s">
        <v>267</v>
      </c>
      <c r="T14" s="14" t="s">
        <v>72</v>
      </c>
    </row>
    <row r="15" customFormat="false" ht="15" hidden="false" customHeight="false" outlineLevel="0" collapsed="false">
      <c r="A15" s="14" t="s">
        <v>42</v>
      </c>
      <c r="B15" s="14" t="s">
        <v>43</v>
      </c>
      <c r="C15" s="14" t="s">
        <v>73</v>
      </c>
      <c r="D15" s="14" t="s">
        <v>64</v>
      </c>
      <c r="E15" s="14" t="n">
        <v>6</v>
      </c>
      <c r="F15" s="14" t="n">
        <v>47</v>
      </c>
      <c r="G15" s="14" t="s">
        <v>259</v>
      </c>
      <c r="H15" s="15" t="n">
        <v>36895</v>
      </c>
      <c r="I15" s="15" t="n">
        <v>27895</v>
      </c>
      <c r="J15" s="14" t="n">
        <v>48.64</v>
      </c>
      <c r="K15" s="14" t="s">
        <v>266</v>
      </c>
      <c r="L15" s="14" t="n">
        <v>440</v>
      </c>
      <c r="M15" s="14" t="n">
        <v>1666</v>
      </c>
      <c r="N15" s="14" t="n">
        <v>822</v>
      </c>
      <c r="O15" s="14" t="n">
        <v>4492</v>
      </c>
      <c r="P15" s="16" t="s">
        <v>262</v>
      </c>
      <c r="Q15" s="16" t="s">
        <v>258</v>
      </c>
      <c r="R15" s="16"/>
      <c r="S15" s="16" t="s">
        <v>268</v>
      </c>
      <c r="T15" s="14" t="s">
        <v>74</v>
      </c>
    </row>
    <row r="16" customFormat="false" ht="23.85" hidden="false" customHeight="false" outlineLevel="0" collapsed="false">
      <c r="A16" s="14" t="s">
        <v>42</v>
      </c>
      <c r="B16" s="14" t="s">
        <v>43</v>
      </c>
      <c r="C16" s="14" t="s">
        <v>75</v>
      </c>
      <c r="D16" s="14" t="s">
        <v>76</v>
      </c>
      <c r="E16" s="14" t="n">
        <v>7</v>
      </c>
      <c r="F16" s="14" t="n">
        <v>51</v>
      </c>
      <c r="G16" s="14" t="s">
        <v>251</v>
      </c>
      <c r="H16" s="15" t="n">
        <v>32595</v>
      </c>
      <c r="I16" s="15" t="n">
        <v>26595</v>
      </c>
      <c r="J16" s="14" t="n">
        <v>51.33</v>
      </c>
      <c r="K16" s="14" t="s">
        <v>269</v>
      </c>
      <c r="L16" s="14" t="n">
        <v>590</v>
      </c>
      <c r="M16" s="14" t="n">
        <v>2233</v>
      </c>
      <c r="N16" s="14" t="n">
        <v>850</v>
      </c>
      <c r="O16" s="14" t="n">
        <v>5771</v>
      </c>
      <c r="P16" s="16" t="s">
        <v>270</v>
      </c>
      <c r="Q16" s="16" t="s">
        <v>271</v>
      </c>
      <c r="R16" s="16"/>
      <c r="S16" s="16"/>
      <c r="T16" s="14" t="s">
        <v>77</v>
      </c>
    </row>
    <row r="17" customFormat="false" ht="23.85" hidden="false" customHeight="false" outlineLevel="0" collapsed="false">
      <c r="A17" s="14" t="s">
        <v>42</v>
      </c>
      <c r="B17" s="14" t="s">
        <v>43</v>
      </c>
      <c r="C17" s="14" t="s">
        <v>78</v>
      </c>
      <c r="D17" s="14" t="s">
        <v>76</v>
      </c>
      <c r="E17" s="14" t="n">
        <v>7</v>
      </c>
      <c r="F17" s="14" t="n">
        <v>46</v>
      </c>
      <c r="G17" s="14" t="s">
        <v>251</v>
      </c>
      <c r="H17" s="15" t="n">
        <v>30795</v>
      </c>
      <c r="I17" s="15" t="n">
        <v>24795</v>
      </c>
      <c r="J17" s="14" t="n">
        <v>47.87</v>
      </c>
      <c r="K17" s="14" t="s">
        <v>272</v>
      </c>
      <c r="L17" s="14" t="n">
        <v>500</v>
      </c>
      <c r="M17" s="14" t="n">
        <v>1893</v>
      </c>
      <c r="N17" s="14" t="n">
        <v>805</v>
      </c>
      <c r="O17" s="14" t="n">
        <v>4975</v>
      </c>
      <c r="P17" s="16" t="s">
        <v>270</v>
      </c>
      <c r="Q17" s="16" t="s">
        <v>271</v>
      </c>
      <c r="R17" s="16"/>
      <c r="S17" s="16"/>
      <c r="T17" s="14" t="s">
        <v>79</v>
      </c>
    </row>
    <row r="18" customFormat="false" ht="23.85" hidden="false" customHeight="false" outlineLevel="0" collapsed="false">
      <c r="A18" s="14" t="s">
        <v>42</v>
      </c>
      <c r="B18" s="14" t="s">
        <v>43</v>
      </c>
      <c r="C18" s="14" t="s">
        <v>80</v>
      </c>
      <c r="D18" s="14" t="s">
        <v>76</v>
      </c>
      <c r="E18" s="14" t="n">
        <v>7</v>
      </c>
      <c r="F18" s="14" t="n">
        <v>41</v>
      </c>
      <c r="G18" s="14" t="s">
        <v>251</v>
      </c>
      <c r="H18" s="15" t="n">
        <v>29195</v>
      </c>
      <c r="I18" s="15" t="n">
        <v>23195</v>
      </c>
      <c r="J18" s="14" t="n">
        <v>44.8</v>
      </c>
      <c r="K18" s="14" t="s">
        <v>273</v>
      </c>
      <c r="L18" s="14" t="n">
        <v>445</v>
      </c>
      <c r="M18" s="14" t="n">
        <v>1685</v>
      </c>
      <c r="N18" s="14" t="n">
        <v>777</v>
      </c>
      <c r="O18" s="14" t="n">
        <v>4488</v>
      </c>
      <c r="P18" s="16" t="s">
        <v>270</v>
      </c>
      <c r="Q18" s="16" t="s">
        <v>271</v>
      </c>
      <c r="R18" s="16"/>
      <c r="S18" s="16"/>
      <c r="T18" s="14" t="s">
        <v>81</v>
      </c>
    </row>
    <row r="19" customFormat="false" ht="23.85" hidden="false" customHeight="false" outlineLevel="0" collapsed="false">
      <c r="A19" s="14" t="s">
        <v>42</v>
      </c>
      <c r="B19" s="14" t="s">
        <v>43</v>
      </c>
      <c r="C19" s="14" t="s">
        <v>82</v>
      </c>
      <c r="D19" s="14" t="s">
        <v>76</v>
      </c>
      <c r="E19" s="14" t="n">
        <v>6</v>
      </c>
      <c r="F19" s="14" t="n">
        <v>52</v>
      </c>
      <c r="G19" s="14" t="s">
        <v>259</v>
      </c>
      <c r="H19" s="15" t="n">
        <v>31295</v>
      </c>
      <c r="I19" s="15" t="n">
        <v>25295</v>
      </c>
      <c r="J19" s="14" t="n">
        <v>51.33</v>
      </c>
      <c r="K19" s="14" t="s">
        <v>269</v>
      </c>
      <c r="L19" s="14" t="n">
        <v>580</v>
      </c>
      <c r="M19" s="14" t="n">
        <v>2196</v>
      </c>
      <c r="N19" s="14" t="n">
        <v>830</v>
      </c>
      <c r="O19" s="14" t="n">
        <v>5667</v>
      </c>
      <c r="P19" s="16" t="s">
        <v>270</v>
      </c>
      <c r="Q19" s="16" t="s">
        <v>271</v>
      </c>
      <c r="R19" s="16"/>
      <c r="S19" s="16"/>
      <c r="T19" s="14" t="s">
        <v>83</v>
      </c>
    </row>
    <row r="20" customFormat="false" ht="23.85" hidden="false" customHeight="false" outlineLevel="0" collapsed="false">
      <c r="A20" s="14" t="s">
        <v>42</v>
      </c>
      <c r="B20" s="14" t="s">
        <v>43</v>
      </c>
      <c r="C20" s="14" t="s">
        <v>84</v>
      </c>
      <c r="D20" s="14" t="s">
        <v>76</v>
      </c>
      <c r="E20" s="14" t="n">
        <v>6</v>
      </c>
      <c r="F20" s="14" t="n">
        <v>44</v>
      </c>
      <c r="G20" s="14" t="s">
        <v>259</v>
      </c>
      <c r="H20" s="15" t="n">
        <v>30795</v>
      </c>
      <c r="I20" s="15" t="n">
        <v>24795</v>
      </c>
      <c r="J20" s="14" t="n">
        <v>47.87</v>
      </c>
      <c r="K20" s="14" t="s">
        <v>272</v>
      </c>
      <c r="L20" s="14" t="n">
        <v>490</v>
      </c>
      <c r="M20" s="14" t="n">
        <v>1855</v>
      </c>
      <c r="N20" s="14" t="n">
        <v>813</v>
      </c>
      <c r="O20" s="14" t="n">
        <v>4900</v>
      </c>
      <c r="P20" s="16" t="s">
        <v>270</v>
      </c>
      <c r="Q20" s="16" t="s">
        <v>271</v>
      </c>
      <c r="R20" s="16"/>
      <c r="S20" s="16"/>
      <c r="T20" s="14" t="s">
        <v>85</v>
      </c>
    </row>
    <row r="21" customFormat="false" ht="23.85" hidden="false" customHeight="false" outlineLevel="0" collapsed="false">
      <c r="A21" s="14" t="s">
        <v>42</v>
      </c>
      <c r="B21" s="14" t="s">
        <v>43</v>
      </c>
      <c r="C21" s="14" t="s">
        <v>86</v>
      </c>
      <c r="D21" s="14" t="s">
        <v>76</v>
      </c>
      <c r="E21" s="14" t="n">
        <v>6</v>
      </c>
      <c r="F21" s="14" t="n">
        <v>42</v>
      </c>
      <c r="G21" s="14" t="s">
        <v>259</v>
      </c>
      <c r="H21" s="15" t="n">
        <v>27995</v>
      </c>
      <c r="I21" s="15" t="n">
        <v>21995</v>
      </c>
      <c r="J21" s="14" t="n">
        <v>44.8</v>
      </c>
      <c r="K21" s="14" t="s">
        <v>273</v>
      </c>
      <c r="L21" s="14" t="n">
        <v>450</v>
      </c>
      <c r="M21" s="14" t="n">
        <v>1703</v>
      </c>
      <c r="N21" s="14" t="n">
        <v>764</v>
      </c>
      <c r="O21" s="14" t="n">
        <v>4684</v>
      </c>
      <c r="P21" s="16" t="s">
        <v>270</v>
      </c>
      <c r="Q21" s="16" t="s">
        <v>271</v>
      </c>
      <c r="R21" s="16"/>
      <c r="S21" s="16"/>
      <c r="T21" s="14" t="s">
        <v>87</v>
      </c>
    </row>
    <row r="22" customFormat="false" ht="23.85" hidden="false" customHeight="false" outlineLevel="0" collapsed="false">
      <c r="A22" s="14" t="s">
        <v>42</v>
      </c>
      <c r="B22" s="14" t="s">
        <v>43</v>
      </c>
      <c r="C22" s="14" t="s">
        <v>88</v>
      </c>
      <c r="D22" s="14" t="s">
        <v>76</v>
      </c>
      <c r="E22" s="14" t="n">
        <v>5</v>
      </c>
      <c r="F22" s="14" t="n">
        <v>23</v>
      </c>
      <c r="G22" s="14" t="s">
        <v>251</v>
      </c>
      <c r="H22" s="15" t="n">
        <v>26495</v>
      </c>
      <c r="I22" s="15" t="n">
        <v>20495</v>
      </c>
      <c r="J22" s="14" t="n">
        <v>39.62</v>
      </c>
      <c r="K22" s="14" t="s">
        <v>274</v>
      </c>
      <c r="L22" s="14" t="n">
        <v>450</v>
      </c>
      <c r="M22" s="14" t="n">
        <v>1703</v>
      </c>
      <c r="N22" s="14" t="n">
        <v>619</v>
      </c>
      <c r="O22" s="14" t="n">
        <v>4372</v>
      </c>
      <c r="P22" s="16" t="s">
        <v>270</v>
      </c>
      <c r="Q22" s="16" t="s">
        <v>271</v>
      </c>
      <c r="R22" s="16"/>
      <c r="S22" s="16"/>
      <c r="T22" s="14" t="s">
        <v>90</v>
      </c>
    </row>
    <row r="23" customFormat="false" ht="23.85" hidden="false" customHeight="false" outlineLevel="0" collapsed="false">
      <c r="A23" s="14" t="s">
        <v>42</v>
      </c>
      <c r="B23" s="14" t="s">
        <v>43</v>
      </c>
      <c r="C23" s="14" t="s">
        <v>91</v>
      </c>
      <c r="D23" s="14" t="s">
        <v>76</v>
      </c>
      <c r="E23" s="14" t="n">
        <v>3</v>
      </c>
      <c r="F23" s="14" t="n">
        <v>23</v>
      </c>
      <c r="G23" s="14" t="s">
        <v>259</v>
      </c>
      <c r="H23" s="15" t="n">
        <v>24795</v>
      </c>
      <c r="I23" s="15" t="n">
        <v>18795</v>
      </c>
      <c r="J23" s="14" t="n">
        <v>36.36</v>
      </c>
      <c r="K23" s="14" t="s">
        <v>275</v>
      </c>
      <c r="L23" s="14" t="n">
        <v>280</v>
      </c>
      <c r="M23" s="14" t="n">
        <v>1060</v>
      </c>
      <c r="N23" s="14" t="n">
        <v>531</v>
      </c>
      <c r="O23" s="14" t="n">
        <v>2866</v>
      </c>
      <c r="P23" s="16" t="s">
        <v>270</v>
      </c>
      <c r="Q23" s="16" t="s">
        <v>271</v>
      </c>
      <c r="R23" s="16"/>
      <c r="S23" s="16"/>
      <c r="T23" s="14" t="s">
        <v>93</v>
      </c>
    </row>
    <row r="24" customFormat="false" ht="23.85" hidden="false" customHeight="false" outlineLevel="0" collapsed="false">
      <c r="A24" s="14" t="s">
        <v>42</v>
      </c>
      <c r="B24" s="14" t="s">
        <v>43</v>
      </c>
      <c r="C24" s="14" t="s">
        <v>94</v>
      </c>
      <c r="D24" s="14" t="s">
        <v>95</v>
      </c>
      <c r="E24" s="14" t="n">
        <v>7</v>
      </c>
      <c r="F24" s="14" t="n">
        <v>42</v>
      </c>
      <c r="G24" s="14" t="s">
        <v>251</v>
      </c>
      <c r="H24" s="15" t="n">
        <v>22695</v>
      </c>
      <c r="I24" s="15" t="n">
        <v>18695</v>
      </c>
      <c r="J24" s="14" t="n">
        <v>36.16</v>
      </c>
      <c r="K24" s="14" t="s">
        <v>276</v>
      </c>
      <c r="L24" s="14" t="n">
        <v>495</v>
      </c>
      <c r="M24" s="14" t="n">
        <v>1874</v>
      </c>
      <c r="N24" s="14" t="n">
        <v>777</v>
      </c>
      <c r="O24" s="14" t="n">
        <v>4905</v>
      </c>
      <c r="P24" s="16" t="s">
        <v>277</v>
      </c>
      <c r="Q24" s="16" t="s">
        <v>278</v>
      </c>
      <c r="R24" s="16"/>
      <c r="S24" s="16"/>
      <c r="T24" s="14" t="s">
        <v>96</v>
      </c>
    </row>
    <row r="25" customFormat="false" ht="23.85" hidden="false" customHeight="false" outlineLevel="0" collapsed="false">
      <c r="A25" s="14" t="s">
        <v>42</v>
      </c>
      <c r="B25" s="14" t="s">
        <v>43</v>
      </c>
      <c r="C25" s="14" t="s">
        <v>97</v>
      </c>
      <c r="D25" s="14" t="s">
        <v>95</v>
      </c>
      <c r="E25" s="14" t="n">
        <v>7</v>
      </c>
      <c r="F25" s="14" t="n">
        <v>37</v>
      </c>
      <c r="G25" s="14" t="s">
        <v>251</v>
      </c>
      <c r="H25" s="15" t="n">
        <v>20295</v>
      </c>
      <c r="I25" s="15" t="n">
        <v>16295</v>
      </c>
      <c r="J25" s="14" t="n">
        <v>31.56</v>
      </c>
      <c r="K25" s="14" t="s">
        <v>273</v>
      </c>
      <c r="L25" s="14" t="n">
        <v>435</v>
      </c>
      <c r="M25" s="14" t="n">
        <v>1647</v>
      </c>
      <c r="N25" s="14" t="n">
        <v>717</v>
      </c>
      <c r="O25" s="14" t="n">
        <v>4345</v>
      </c>
      <c r="P25" s="16" t="s">
        <v>277</v>
      </c>
      <c r="Q25" s="16" t="s">
        <v>278</v>
      </c>
      <c r="R25" s="16"/>
      <c r="S25" s="16"/>
      <c r="T25" s="14" t="s">
        <v>98</v>
      </c>
    </row>
    <row r="26" customFormat="false" ht="23.85" hidden="false" customHeight="false" outlineLevel="0" collapsed="false">
      <c r="A26" s="14" t="s">
        <v>42</v>
      </c>
      <c r="B26" s="14" t="s">
        <v>43</v>
      </c>
      <c r="C26" s="14" t="s">
        <v>99</v>
      </c>
      <c r="D26" s="14" t="s">
        <v>95</v>
      </c>
      <c r="E26" s="14" t="n">
        <v>6</v>
      </c>
      <c r="F26" s="14" t="n">
        <v>38</v>
      </c>
      <c r="G26" s="14" t="s">
        <v>259</v>
      </c>
      <c r="H26" s="15" t="n">
        <v>21995</v>
      </c>
      <c r="I26" s="15" t="n">
        <v>14695</v>
      </c>
      <c r="J26" s="14" t="n">
        <v>29.07</v>
      </c>
      <c r="K26" s="14" t="s">
        <v>276</v>
      </c>
      <c r="L26" s="14" t="n">
        <v>490</v>
      </c>
      <c r="M26" s="14" t="n">
        <v>1855</v>
      </c>
      <c r="N26" s="14" t="n">
        <v>774</v>
      </c>
      <c r="O26" s="14" t="n">
        <v>4861</v>
      </c>
      <c r="P26" s="16" t="s">
        <v>277</v>
      </c>
      <c r="Q26" s="16" t="s">
        <v>278</v>
      </c>
      <c r="R26" s="16"/>
      <c r="S26" s="16" t="s">
        <v>279</v>
      </c>
      <c r="T26" s="14" t="s">
        <v>100</v>
      </c>
    </row>
    <row r="27" customFormat="false" ht="23.85" hidden="false" customHeight="false" outlineLevel="0" collapsed="false">
      <c r="A27" s="14" t="s">
        <v>42</v>
      </c>
      <c r="B27" s="14" t="s">
        <v>43</v>
      </c>
      <c r="C27" s="14" t="s">
        <v>101</v>
      </c>
      <c r="D27" s="14" t="s">
        <v>95</v>
      </c>
      <c r="E27" s="14" t="n">
        <v>6</v>
      </c>
      <c r="F27" s="14" t="n">
        <v>34</v>
      </c>
      <c r="G27" s="14" t="s">
        <v>259</v>
      </c>
      <c r="H27" s="15" t="n">
        <v>20295</v>
      </c>
      <c r="I27" s="15" t="n">
        <v>16295</v>
      </c>
      <c r="J27" s="14" t="n">
        <v>31.56</v>
      </c>
      <c r="K27" s="14" t="s">
        <v>273</v>
      </c>
      <c r="L27" s="14" t="n">
        <v>420</v>
      </c>
      <c r="M27" s="14" t="n">
        <v>1590</v>
      </c>
      <c r="N27" s="14" t="n">
        <v>726</v>
      </c>
      <c r="O27" s="14" t="n">
        <v>4229</v>
      </c>
      <c r="P27" s="16" t="s">
        <v>277</v>
      </c>
      <c r="Q27" s="16" t="s">
        <v>278</v>
      </c>
      <c r="R27" s="16"/>
      <c r="S27" s="16"/>
      <c r="T27" s="14" t="s">
        <v>102</v>
      </c>
    </row>
    <row r="28" customFormat="false" ht="23.85" hidden="false" customHeight="false" outlineLevel="0" collapsed="false">
      <c r="A28" s="14" t="s">
        <v>42</v>
      </c>
      <c r="B28" s="14" t="s">
        <v>43</v>
      </c>
      <c r="C28" s="14" t="s">
        <v>103</v>
      </c>
      <c r="D28" s="14" t="s">
        <v>95</v>
      </c>
      <c r="E28" s="14" t="n">
        <v>5</v>
      </c>
      <c r="F28" s="14" t="n">
        <v>26</v>
      </c>
      <c r="G28" s="14" t="s">
        <v>251</v>
      </c>
      <c r="H28" s="15" t="n">
        <v>18695</v>
      </c>
      <c r="I28" s="15" t="n">
        <v>14695</v>
      </c>
      <c r="J28" s="14" t="n">
        <v>28.49</v>
      </c>
      <c r="K28" s="14" t="s">
        <v>280</v>
      </c>
      <c r="L28" s="14" t="n">
        <v>382</v>
      </c>
      <c r="M28" s="14" t="n">
        <v>1446</v>
      </c>
      <c r="N28" s="14" t="n">
        <v>619</v>
      </c>
      <c r="O28" s="14" t="n">
        <v>3805</v>
      </c>
      <c r="P28" s="16" t="s">
        <v>277</v>
      </c>
      <c r="Q28" s="16" t="s">
        <v>278</v>
      </c>
      <c r="R28" s="16"/>
      <c r="S28" s="16"/>
      <c r="T28" s="14" t="s">
        <v>104</v>
      </c>
    </row>
    <row r="29" customFormat="false" ht="15" hidden="false" customHeight="false" outlineLevel="0" collapsed="false">
      <c r="A29" s="14" t="s">
        <v>42</v>
      </c>
      <c r="B29" s="14" t="s">
        <v>43</v>
      </c>
      <c r="C29" s="14" t="s">
        <v>105</v>
      </c>
      <c r="D29" s="14" t="s">
        <v>95</v>
      </c>
      <c r="E29" s="14" t="n">
        <v>3</v>
      </c>
      <c r="F29" s="14" t="n">
        <v>21</v>
      </c>
      <c r="G29" s="14" t="s">
        <v>259</v>
      </c>
      <c r="H29" s="15" t="n">
        <v>18095</v>
      </c>
      <c r="I29" s="15" t="n">
        <v>14095</v>
      </c>
      <c r="J29" s="14" t="n">
        <v>27.33</v>
      </c>
      <c r="K29" s="14" t="s">
        <v>281</v>
      </c>
      <c r="L29" s="14" t="n">
        <v>204</v>
      </c>
      <c r="M29" s="14" t="n">
        <v>775</v>
      </c>
      <c r="N29" s="14" t="n">
        <v>518</v>
      </c>
      <c r="O29" s="14" t="n">
        <v>2937</v>
      </c>
      <c r="P29" s="16" t="s">
        <v>282</v>
      </c>
      <c r="Q29" s="16" t="s">
        <v>278</v>
      </c>
      <c r="R29" s="16"/>
      <c r="S29" s="16"/>
      <c r="T29" s="14" t="s">
        <v>106</v>
      </c>
    </row>
    <row r="30" customFormat="false" ht="23.85" hidden="false" customHeight="false" outlineLevel="0" collapsed="false">
      <c r="A30" s="14" t="s">
        <v>42</v>
      </c>
      <c r="B30" s="14" t="s">
        <v>107</v>
      </c>
      <c r="C30" s="14" t="s">
        <v>108</v>
      </c>
      <c r="D30" s="14" t="s">
        <v>109</v>
      </c>
      <c r="E30" s="14" t="n">
        <v>5</v>
      </c>
      <c r="F30" s="14" t="n">
        <v>13</v>
      </c>
      <c r="G30" s="14" t="s">
        <v>251</v>
      </c>
      <c r="H30" s="15" t="n">
        <v>11195</v>
      </c>
      <c r="I30" s="15" t="n">
        <v>9195</v>
      </c>
      <c r="J30" s="14"/>
      <c r="K30" s="14" t="s">
        <v>283</v>
      </c>
      <c r="L30" s="14" t="n">
        <v>250</v>
      </c>
      <c r="M30" s="14" t="n">
        <v>946</v>
      </c>
      <c r="N30" s="14" t="n">
        <v>395</v>
      </c>
      <c r="O30" s="14"/>
      <c r="P30" s="16" t="s">
        <v>284</v>
      </c>
      <c r="Q30" s="16" t="s">
        <v>285</v>
      </c>
      <c r="R30" s="16" t="s">
        <v>286</v>
      </c>
      <c r="S30" s="16" t="s">
        <v>287</v>
      </c>
      <c r="T30" s="14" t="s">
        <v>110</v>
      </c>
    </row>
    <row r="31" customFormat="false" ht="23.85" hidden="false" customHeight="false" outlineLevel="0" collapsed="false">
      <c r="A31" s="14" t="s">
        <v>42</v>
      </c>
      <c r="B31" s="14" t="s">
        <v>107</v>
      </c>
      <c r="C31" s="14" t="s">
        <v>111</v>
      </c>
      <c r="D31" s="14" t="s">
        <v>109</v>
      </c>
      <c r="E31" s="14" t="n">
        <v>5</v>
      </c>
      <c r="F31" s="14" t="n">
        <v>15</v>
      </c>
      <c r="G31" s="14" t="s">
        <v>251</v>
      </c>
      <c r="H31" s="15" t="n">
        <v>9295</v>
      </c>
      <c r="I31" s="15" t="n">
        <v>7295</v>
      </c>
      <c r="J31" s="14"/>
      <c r="K31" s="14" t="s">
        <v>288</v>
      </c>
      <c r="L31" s="14" t="n">
        <v>280</v>
      </c>
      <c r="M31" s="14" t="n">
        <v>1060</v>
      </c>
      <c r="N31" s="14" t="n">
        <v>280</v>
      </c>
      <c r="O31" s="14"/>
      <c r="P31" s="16" t="s">
        <v>285</v>
      </c>
      <c r="Q31" s="16" t="s">
        <v>285</v>
      </c>
      <c r="R31" s="16" t="s">
        <v>286</v>
      </c>
      <c r="S31" s="16" t="s">
        <v>289</v>
      </c>
      <c r="T31" s="14" t="s">
        <v>112</v>
      </c>
    </row>
    <row r="32" customFormat="false" ht="23.85" hidden="false" customHeight="false" outlineLevel="0" collapsed="false">
      <c r="A32" s="14" t="s">
        <v>42</v>
      </c>
      <c r="B32" s="14" t="s">
        <v>107</v>
      </c>
      <c r="C32" s="14" t="s">
        <v>113</v>
      </c>
      <c r="D32" s="14" t="s">
        <v>114</v>
      </c>
      <c r="E32" s="14" t="n">
        <v>5</v>
      </c>
      <c r="F32" s="14" t="n">
        <v>29</v>
      </c>
      <c r="G32" s="14" t="s">
        <v>251</v>
      </c>
      <c r="H32" s="15" t="n">
        <v>12195</v>
      </c>
      <c r="I32" s="15" t="n">
        <v>10195</v>
      </c>
      <c r="J32" s="14"/>
      <c r="K32" s="14" t="s">
        <v>283</v>
      </c>
      <c r="L32" s="14" t="n">
        <v>250</v>
      </c>
      <c r="M32" s="14" t="n">
        <v>946</v>
      </c>
      <c r="N32" s="14" t="n">
        <v>395</v>
      </c>
      <c r="O32" s="14"/>
      <c r="P32" s="16" t="s">
        <v>290</v>
      </c>
      <c r="Q32" s="16" t="s">
        <v>290</v>
      </c>
      <c r="R32" s="16" t="s">
        <v>291</v>
      </c>
      <c r="S32" s="16" t="s">
        <v>292</v>
      </c>
      <c r="T32" s="14" t="s">
        <v>115</v>
      </c>
    </row>
    <row r="33" customFormat="false" ht="23.85" hidden="false" customHeight="false" outlineLevel="0" collapsed="false">
      <c r="A33" s="14" t="s">
        <v>42</v>
      </c>
      <c r="B33" s="14" t="s">
        <v>116</v>
      </c>
      <c r="C33" s="14" t="s">
        <v>117</v>
      </c>
      <c r="D33" s="14" t="s">
        <v>118</v>
      </c>
      <c r="E33" s="14" t="n">
        <v>7</v>
      </c>
      <c r="F33" s="14" t="n">
        <v>59</v>
      </c>
      <c r="G33" s="14" t="s">
        <v>251</v>
      </c>
      <c r="H33" s="15" t="n">
        <v>19695</v>
      </c>
      <c r="I33" s="15" t="n">
        <v>17695</v>
      </c>
      <c r="J33" s="14" t="n">
        <v>34.77</v>
      </c>
      <c r="K33" s="14" t="s">
        <v>293</v>
      </c>
      <c r="L33" s="14" t="n">
        <v>463</v>
      </c>
      <c r="M33" s="14" t="n">
        <v>1753</v>
      </c>
      <c r="N33" s="14" t="n">
        <v>804</v>
      </c>
      <c r="O33" s="14" t="n">
        <v>4668</v>
      </c>
      <c r="P33" s="16" t="s">
        <v>294</v>
      </c>
      <c r="Q33" s="16" t="s">
        <v>295</v>
      </c>
      <c r="R33" s="16" t="s">
        <v>296</v>
      </c>
      <c r="S33" s="16" t="s">
        <v>297</v>
      </c>
      <c r="T33" s="14" t="s">
        <v>119</v>
      </c>
    </row>
    <row r="34" customFormat="false" ht="23.85" hidden="false" customHeight="false" outlineLevel="0" collapsed="false">
      <c r="A34" s="14" t="s">
        <v>42</v>
      </c>
      <c r="B34" s="14" t="s">
        <v>116</v>
      </c>
      <c r="C34" s="14" t="s">
        <v>120</v>
      </c>
      <c r="D34" s="14" t="s">
        <v>118</v>
      </c>
      <c r="E34" s="14" t="n">
        <v>7</v>
      </c>
      <c r="F34" s="14" t="n">
        <v>54</v>
      </c>
      <c r="G34" s="14" t="s">
        <v>251</v>
      </c>
      <c r="H34" s="15" t="n">
        <v>17595</v>
      </c>
      <c r="I34" s="15" t="n">
        <v>15595</v>
      </c>
      <c r="J34" s="14" t="n">
        <v>30.78</v>
      </c>
      <c r="K34" s="14" t="s">
        <v>298</v>
      </c>
      <c r="L34" s="14" t="n">
        <v>338</v>
      </c>
      <c r="M34" s="14" t="n">
        <v>1280</v>
      </c>
      <c r="N34" s="14" t="n">
        <v>740</v>
      </c>
      <c r="O34" s="14" t="n">
        <v>3561</v>
      </c>
      <c r="P34" s="16" t="s">
        <v>299</v>
      </c>
      <c r="Q34" s="16" t="s">
        <v>295</v>
      </c>
      <c r="R34" s="16" t="s">
        <v>296</v>
      </c>
      <c r="S34" s="16" t="s">
        <v>297</v>
      </c>
      <c r="T34" s="14" t="s">
        <v>121</v>
      </c>
    </row>
    <row r="35" customFormat="false" ht="23.85" hidden="false" customHeight="false" outlineLevel="0" collapsed="false">
      <c r="A35" s="14" t="s">
        <v>42</v>
      </c>
      <c r="B35" s="14" t="s">
        <v>116</v>
      </c>
      <c r="C35" s="14" t="s">
        <v>122</v>
      </c>
      <c r="D35" s="14" t="s">
        <v>118</v>
      </c>
      <c r="E35" s="14" t="n">
        <v>6</v>
      </c>
      <c r="F35" s="14" t="n">
        <v>51</v>
      </c>
      <c r="G35" s="14" t="s">
        <v>300</v>
      </c>
      <c r="H35" s="15" t="n">
        <v>17595</v>
      </c>
      <c r="I35" s="15" t="n">
        <v>15595</v>
      </c>
      <c r="J35" s="14" t="n">
        <v>30.78</v>
      </c>
      <c r="K35" s="14" t="s">
        <v>298</v>
      </c>
      <c r="L35" s="14" t="n">
        <v>455</v>
      </c>
      <c r="M35" s="14" t="n">
        <v>1722</v>
      </c>
      <c r="N35" s="14" t="n">
        <v>767</v>
      </c>
      <c r="O35" s="14" t="n">
        <v>3430</v>
      </c>
      <c r="P35" s="16" t="s">
        <v>299</v>
      </c>
      <c r="Q35" s="16" t="s">
        <v>295</v>
      </c>
      <c r="R35" s="16" t="s">
        <v>296</v>
      </c>
      <c r="S35" s="16" t="s">
        <v>297</v>
      </c>
      <c r="T35" s="14" t="s">
        <v>123</v>
      </c>
    </row>
    <row r="36" customFormat="false" ht="35.05" hidden="false" customHeight="false" outlineLevel="0" collapsed="false">
      <c r="A36" s="14" t="s">
        <v>42</v>
      </c>
      <c r="B36" s="14" t="s">
        <v>116</v>
      </c>
      <c r="C36" s="14" t="s">
        <v>124</v>
      </c>
      <c r="D36" s="14" t="s">
        <v>118</v>
      </c>
      <c r="E36" s="14" t="n">
        <v>6</v>
      </c>
      <c r="F36" s="14" t="n">
        <v>56</v>
      </c>
      <c r="G36" s="14" t="s">
        <v>300</v>
      </c>
      <c r="H36" s="15" t="n">
        <v>19695</v>
      </c>
      <c r="I36" s="15" t="n">
        <v>17695</v>
      </c>
      <c r="J36" s="14" t="n">
        <v>34.77</v>
      </c>
      <c r="K36" s="14" t="s">
        <v>293</v>
      </c>
      <c r="L36" s="14" t="n">
        <v>455</v>
      </c>
      <c r="M36" s="14" t="n">
        <v>1722</v>
      </c>
      <c r="N36" s="14" t="n">
        <v>767</v>
      </c>
      <c r="O36" s="14" t="n">
        <v>4562</v>
      </c>
      <c r="P36" s="16" t="s">
        <v>299</v>
      </c>
      <c r="Q36" s="16" t="s">
        <v>301</v>
      </c>
      <c r="R36" s="16" t="s">
        <v>296</v>
      </c>
      <c r="S36" s="16" t="s">
        <v>297</v>
      </c>
      <c r="T36" s="14" t="s">
        <v>125</v>
      </c>
    </row>
    <row r="37" customFormat="false" ht="23.85" hidden="false" customHeight="false" outlineLevel="0" collapsed="false">
      <c r="A37" s="14" t="s">
        <v>42</v>
      </c>
      <c r="B37" s="14" t="s">
        <v>126</v>
      </c>
      <c r="C37" s="14" t="s">
        <v>127</v>
      </c>
      <c r="D37" s="14" t="s">
        <v>128</v>
      </c>
      <c r="E37" s="14" t="n">
        <v>4</v>
      </c>
      <c r="F37" s="14" t="n">
        <v>23</v>
      </c>
      <c r="G37" s="14" t="s">
        <v>251</v>
      </c>
      <c r="H37" s="15" t="n">
        <v>12995</v>
      </c>
      <c r="I37" s="15" t="n">
        <v>10995</v>
      </c>
      <c r="J37" s="14"/>
      <c r="K37" s="14"/>
      <c r="L37" s="14"/>
      <c r="M37" s="14"/>
      <c r="N37" s="14"/>
      <c r="O37" s="14"/>
      <c r="P37" s="16"/>
      <c r="Q37" s="16" t="s">
        <v>302</v>
      </c>
      <c r="R37" s="16" t="s">
        <v>303</v>
      </c>
      <c r="S37" s="16" t="s">
        <v>304</v>
      </c>
      <c r="T37" s="14" t="s">
        <v>130</v>
      </c>
    </row>
    <row r="38" customFormat="false" ht="23.85" hidden="false" customHeight="false" outlineLevel="0" collapsed="false">
      <c r="A38" s="14" t="s">
        <v>42</v>
      </c>
      <c r="B38" s="14" t="s">
        <v>126</v>
      </c>
      <c r="C38" s="14" t="s">
        <v>131</v>
      </c>
      <c r="D38" s="14" t="s">
        <v>128</v>
      </c>
      <c r="E38" s="14" t="n">
        <v>7</v>
      </c>
      <c r="F38" s="14" t="n">
        <v>27</v>
      </c>
      <c r="G38" s="14" t="s">
        <v>251</v>
      </c>
      <c r="H38" s="15" t="n">
        <v>13995</v>
      </c>
      <c r="I38" s="15" t="n">
        <v>11995</v>
      </c>
      <c r="J38" s="14"/>
      <c r="K38" s="14"/>
      <c r="L38" s="14"/>
      <c r="M38" s="14"/>
      <c r="N38" s="14"/>
      <c r="O38" s="14"/>
      <c r="P38" s="16"/>
      <c r="Q38" s="16" t="s">
        <v>302</v>
      </c>
      <c r="R38" s="16" t="s">
        <v>303</v>
      </c>
      <c r="S38" s="16" t="s">
        <v>305</v>
      </c>
      <c r="T38" s="14" t="s">
        <v>132</v>
      </c>
    </row>
    <row r="39" customFormat="false" ht="23.85" hidden="false" customHeight="false" outlineLevel="0" collapsed="false">
      <c r="A39" s="14" t="s">
        <v>42</v>
      </c>
      <c r="B39" s="14" t="s">
        <v>126</v>
      </c>
      <c r="C39" s="14" t="s">
        <v>133</v>
      </c>
      <c r="D39" s="14" t="s">
        <v>134</v>
      </c>
      <c r="E39" s="14" t="n">
        <v>7</v>
      </c>
      <c r="F39" s="14" t="n">
        <v>37</v>
      </c>
      <c r="G39" s="14" t="s">
        <v>251</v>
      </c>
      <c r="H39" s="15" t="n">
        <v>15995</v>
      </c>
      <c r="I39" s="15" t="n">
        <v>13995</v>
      </c>
      <c r="J39" s="14"/>
      <c r="K39" s="14"/>
      <c r="L39" s="14"/>
      <c r="M39" s="14"/>
      <c r="N39" s="14"/>
      <c r="O39" s="14"/>
      <c r="P39" s="16"/>
      <c r="Q39" s="16" t="s">
        <v>302</v>
      </c>
      <c r="R39" s="16" t="s">
        <v>303</v>
      </c>
      <c r="S39" s="16" t="s">
        <v>306</v>
      </c>
      <c r="T39" s="14" t="s">
        <v>135</v>
      </c>
    </row>
    <row r="40" customFormat="false" ht="23.85" hidden="false" customHeight="false" outlineLevel="0" collapsed="false">
      <c r="A40" s="14" t="s">
        <v>42</v>
      </c>
      <c r="B40" s="14" t="s">
        <v>126</v>
      </c>
      <c r="C40" s="14" t="s">
        <v>136</v>
      </c>
      <c r="D40" s="14" t="s">
        <v>134</v>
      </c>
      <c r="E40" s="14" t="n">
        <v>6</v>
      </c>
      <c r="F40" s="14" t="n">
        <v>42</v>
      </c>
      <c r="G40" s="14" t="s">
        <v>307</v>
      </c>
      <c r="H40" s="15" t="n">
        <v>15995</v>
      </c>
      <c r="I40" s="15" t="n">
        <v>13995</v>
      </c>
      <c r="J40" s="14"/>
      <c r="K40" s="14"/>
      <c r="L40" s="14"/>
      <c r="M40" s="14"/>
      <c r="N40" s="14"/>
      <c r="O40" s="14"/>
      <c r="P40" s="16"/>
      <c r="Q40" s="16" t="s">
        <v>302</v>
      </c>
      <c r="R40" s="16" t="s">
        <v>303</v>
      </c>
      <c r="S40" s="16" t="s">
        <v>306</v>
      </c>
      <c r="T40" s="14" t="s">
        <v>137</v>
      </c>
    </row>
  </sheetData>
  <autoFilter ref="A4:T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26"/>
    <col collapsed="false" customWidth="true" hidden="false" outlineLevel="0" max="16" min="16" style="0" width="22"/>
    <col collapsed="false" customWidth="true" hidden="false" outlineLevel="0" max="17" min="17" style="0" width="34"/>
    <col collapsed="false" customWidth="true" hidden="false" outlineLevel="0" max="18" min="18" style="0" width="46"/>
  </cols>
  <sheetData>
    <row r="1" customFormat="false" ht="19.7" hidden="false" customHeight="false" outlineLevel="0" collapsed="false">
      <c r="A1" s="11" t="s">
        <v>308</v>
      </c>
    </row>
    <row r="2" customFormat="false" ht="15" hidden="false" customHeight="false" outlineLevel="0" collapsed="false">
      <c r="A2" s="12" t="s">
        <v>309</v>
      </c>
    </row>
    <row r="4" customFormat="false" ht="23.85" hidden="false" customHeight="false" outlineLevel="0" collapsed="false">
      <c r="A4" s="13" t="s">
        <v>33</v>
      </c>
      <c r="B4" s="13" t="s">
        <v>34</v>
      </c>
      <c r="C4" s="13" t="s">
        <v>310</v>
      </c>
      <c r="D4" s="13" t="s">
        <v>311</v>
      </c>
      <c r="E4" s="13" t="s">
        <v>312</v>
      </c>
      <c r="F4" s="13" t="s">
        <v>37</v>
      </c>
      <c r="G4" s="13" t="s">
        <v>38</v>
      </c>
      <c r="H4" s="13" t="s">
        <v>240</v>
      </c>
      <c r="I4" s="13" t="s">
        <v>241</v>
      </c>
      <c r="J4" s="13" t="s">
        <v>242</v>
      </c>
      <c r="K4" s="13" t="s">
        <v>243</v>
      </c>
      <c r="L4" s="13" t="s">
        <v>244</v>
      </c>
      <c r="M4" s="13" t="s">
        <v>245</v>
      </c>
      <c r="N4" s="13" t="s">
        <v>246</v>
      </c>
      <c r="O4" s="13" t="s">
        <v>248</v>
      </c>
      <c r="P4" s="13" t="s">
        <v>249</v>
      </c>
      <c r="Q4" s="13" t="s">
        <v>250</v>
      </c>
      <c r="R4" s="13" t="s">
        <v>41</v>
      </c>
    </row>
    <row r="5" customFormat="false" ht="23.85" hidden="false" customHeight="false" outlineLevel="0" collapsed="false">
      <c r="A5" s="14" t="s">
        <v>43</v>
      </c>
      <c r="B5" s="14" t="s">
        <v>139</v>
      </c>
      <c r="C5" s="14" t="s">
        <v>140</v>
      </c>
      <c r="D5" s="14" t="n">
        <v>19</v>
      </c>
      <c r="E5" s="14" t="n">
        <v>6</v>
      </c>
      <c r="F5" s="14" t="n">
        <v>53</v>
      </c>
      <c r="G5" s="15" t="n">
        <v>68895</v>
      </c>
      <c r="H5" s="15" t="n">
        <v>60895</v>
      </c>
      <c r="I5" s="14" t="n">
        <v>117.16</v>
      </c>
      <c r="J5" s="14" t="s">
        <v>313</v>
      </c>
      <c r="K5" s="14" t="n">
        <v>1865</v>
      </c>
      <c r="L5" s="14" t="n">
        <v>7066</v>
      </c>
      <c r="M5" s="14" t="n">
        <v>2662</v>
      </c>
      <c r="N5" s="14" t="n">
        <v>18235</v>
      </c>
      <c r="O5" s="16" t="s">
        <v>314</v>
      </c>
      <c r="P5" s="16" t="s">
        <v>315</v>
      </c>
      <c r="Q5" s="16" t="s">
        <v>316</v>
      </c>
      <c r="R5" s="14" t="s">
        <v>141</v>
      </c>
    </row>
    <row r="6" customFormat="false" ht="23.85" hidden="false" customHeight="false" outlineLevel="0" collapsed="false">
      <c r="A6" s="14" t="s">
        <v>43</v>
      </c>
      <c r="B6" s="14" t="s">
        <v>142</v>
      </c>
      <c r="C6" s="14" t="s">
        <v>140</v>
      </c>
      <c r="D6" s="14" t="n">
        <v>19</v>
      </c>
      <c r="E6" s="14" t="n">
        <v>4</v>
      </c>
      <c r="F6" s="14" t="n">
        <v>34</v>
      </c>
      <c r="G6" s="15" t="n">
        <v>66995</v>
      </c>
      <c r="H6" s="15" t="n">
        <v>58995</v>
      </c>
      <c r="I6" s="14" t="n">
        <v>113.52</v>
      </c>
      <c r="J6" s="14" t="s">
        <v>317</v>
      </c>
      <c r="K6" s="14" t="n">
        <v>2430</v>
      </c>
      <c r="L6" s="14" t="n">
        <v>9205</v>
      </c>
      <c r="M6" s="14" t="n">
        <v>2660</v>
      </c>
      <c r="N6" s="14" t="n">
        <v>22948</v>
      </c>
      <c r="O6" s="16" t="s">
        <v>318</v>
      </c>
      <c r="P6" s="16" t="s">
        <v>319</v>
      </c>
      <c r="Q6" s="16"/>
      <c r="R6" s="14" t="s">
        <v>143</v>
      </c>
    </row>
    <row r="7" customFormat="false" ht="23.85" hidden="false" customHeight="false" outlineLevel="0" collapsed="false">
      <c r="A7" s="14" t="s">
        <v>43</v>
      </c>
      <c r="B7" s="14" t="s">
        <v>144</v>
      </c>
      <c r="C7" s="14" t="s">
        <v>140</v>
      </c>
      <c r="D7" s="14" t="n">
        <v>16</v>
      </c>
      <c r="E7" s="14" t="n">
        <v>4</v>
      </c>
      <c r="F7" s="14" t="n">
        <v>34</v>
      </c>
      <c r="G7" s="15" t="n">
        <v>61295</v>
      </c>
      <c r="H7" s="15" t="n">
        <v>54295</v>
      </c>
      <c r="I7" s="14" t="n">
        <v>104.49</v>
      </c>
      <c r="J7" s="14" t="s">
        <v>320</v>
      </c>
      <c r="K7" s="14" t="n">
        <v>2012</v>
      </c>
      <c r="L7" s="14" t="n">
        <v>7620</v>
      </c>
      <c r="M7" s="14" t="n">
        <v>2600</v>
      </c>
      <c r="N7" s="14" t="n">
        <v>19394</v>
      </c>
      <c r="O7" s="16" t="s">
        <v>318</v>
      </c>
      <c r="P7" s="16" t="s">
        <v>319</v>
      </c>
      <c r="Q7" s="16"/>
      <c r="R7" s="14" t="s">
        <v>145</v>
      </c>
    </row>
    <row r="8" customFormat="false" ht="23.85" hidden="false" customHeight="false" outlineLevel="0" collapsed="false">
      <c r="A8" s="14" t="s">
        <v>43</v>
      </c>
      <c r="B8" s="14" t="s">
        <v>146</v>
      </c>
      <c r="C8" s="14" t="s">
        <v>140</v>
      </c>
      <c r="D8" s="14" t="n">
        <v>14</v>
      </c>
      <c r="E8" s="14" t="n">
        <v>5</v>
      </c>
      <c r="F8" s="14" t="n">
        <v>51</v>
      </c>
      <c r="G8" s="15" t="n">
        <v>54795</v>
      </c>
      <c r="H8" s="15" t="n">
        <v>48795</v>
      </c>
      <c r="I8" s="14" t="n">
        <v>93.94</v>
      </c>
      <c r="J8" s="14" t="s">
        <v>321</v>
      </c>
      <c r="K8" s="14" t="n">
        <v>1629</v>
      </c>
      <c r="L8" s="14" t="n">
        <v>6166</v>
      </c>
      <c r="M8" s="14" t="n">
        <v>2129</v>
      </c>
      <c r="N8" s="14" t="n">
        <v>15718</v>
      </c>
      <c r="O8" s="16" t="s">
        <v>318</v>
      </c>
      <c r="P8" s="16" t="s">
        <v>319</v>
      </c>
      <c r="Q8" s="16"/>
      <c r="R8" s="14" t="s">
        <v>147</v>
      </c>
    </row>
    <row r="9" customFormat="false" ht="23.85" hidden="false" customHeight="false" outlineLevel="0" collapsed="false">
      <c r="A9" s="14" t="s">
        <v>43</v>
      </c>
      <c r="B9" s="14" t="s">
        <v>148</v>
      </c>
      <c r="C9" s="14" t="s">
        <v>149</v>
      </c>
      <c r="D9" s="14" t="n">
        <v>19</v>
      </c>
      <c r="E9" s="14" t="n">
        <v>6</v>
      </c>
      <c r="F9" s="14" t="n">
        <v>51</v>
      </c>
      <c r="G9" s="15" t="n">
        <v>61295</v>
      </c>
      <c r="H9" s="15" t="n">
        <v>53295</v>
      </c>
      <c r="I9" s="14" t="n">
        <v>102.57</v>
      </c>
      <c r="J9" s="14" t="s">
        <v>313</v>
      </c>
      <c r="K9" s="14" t="n">
        <v>1865</v>
      </c>
      <c r="L9" s="14" t="n">
        <v>7066</v>
      </c>
      <c r="M9" s="14" t="n">
        <v>2662</v>
      </c>
      <c r="N9" s="14" t="n">
        <v>18235</v>
      </c>
      <c r="O9" s="16" t="s">
        <v>322</v>
      </c>
      <c r="P9" s="16" t="s">
        <v>315</v>
      </c>
      <c r="Q9" s="16" t="s">
        <v>323</v>
      </c>
      <c r="R9" s="14" t="s">
        <v>150</v>
      </c>
    </row>
    <row r="10" customFormat="false" ht="23.85" hidden="false" customHeight="false" outlineLevel="0" collapsed="false">
      <c r="A10" s="14" t="s">
        <v>43</v>
      </c>
      <c r="B10" s="14" t="s">
        <v>151</v>
      </c>
      <c r="C10" s="14" t="s">
        <v>149</v>
      </c>
      <c r="D10" s="14" t="n">
        <v>19</v>
      </c>
      <c r="E10" s="14" t="n">
        <v>4</v>
      </c>
      <c r="F10" s="14" t="n">
        <v>32</v>
      </c>
      <c r="G10" s="15" t="n">
        <v>59395</v>
      </c>
      <c r="H10" s="15" t="n">
        <v>51395</v>
      </c>
      <c r="I10" s="14" t="n">
        <v>98.93</v>
      </c>
      <c r="J10" s="14" t="s">
        <v>317</v>
      </c>
      <c r="K10" s="14" t="n">
        <v>2430</v>
      </c>
      <c r="L10" s="14" t="n">
        <v>9205</v>
      </c>
      <c r="M10" s="14" t="n">
        <v>2660</v>
      </c>
      <c r="N10" s="14" t="n">
        <v>22948</v>
      </c>
      <c r="O10" s="16" t="s">
        <v>318</v>
      </c>
      <c r="P10" s="16" t="s">
        <v>319</v>
      </c>
      <c r="Q10" s="16"/>
      <c r="R10" s="14" t="s">
        <v>152</v>
      </c>
    </row>
    <row r="11" customFormat="false" ht="23.85" hidden="false" customHeight="false" outlineLevel="0" collapsed="false">
      <c r="A11" s="14" t="s">
        <v>43</v>
      </c>
      <c r="B11" s="14" t="s">
        <v>153</v>
      </c>
      <c r="C11" s="14" t="s">
        <v>149</v>
      </c>
      <c r="D11" s="14" t="n">
        <v>16</v>
      </c>
      <c r="E11" s="14" t="n">
        <v>4</v>
      </c>
      <c r="F11" s="14" t="n">
        <v>32</v>
      </c>
      <c r="G11" s="15" t="n">
        <v>53495</v>
      </c>
      <c r="H11" s="15" t="n">
        <v>46495</v>
      </c>
      <c r="I11" s="14" t="n">
        <v>89.52</v>
      </c>
      <c r="J11" s="14" t="s">
        <v>320</v>
      </c>
      <c r="K11" s="14" t="n">
        <v>2012</v>
      </c>
      <c r="L11" s="14" t="n">
        <v>7620</v>
      </c>
      <c r="M11" s="14" t="n">
        <v>2600</v>
      </c>
      <c r="N11" s="14" t="n">
        <v>19394</v>
      </c>
      <c r="O11" s="16" t="s">
        <v>318</v>
      </c>
      <c r="P11" s="16" t="s">
        <v>319</v>
      </c>
      <c r="Q11" s="16"/>
      <c r="R11" s="14" t="s">
        <v>154</v>
      </c>
    </row>
    <row r="12" customFormat="false" ht="23.85" hidden="false" customHeight="false" outlineLevel="0" collapsed="false">
      <c r="A12" s="14" t="s">
        <v>43</v>
      </c>
      <c r="B12" s="14" t="s">
        <v>155</v>
      </c>
      <c r="C12" s="14" t="s">
        <v>149</v>
      </c>
      <c r="D12" s="14" t="n">
        <v>14</v>
      </c>
      <c r="E12" s="14" t="n">
        <v>5</v>
      </c>
      <c r="F12" s="14" t="n">
        <v>49</v>
      </c>
      <c r="G12" s="15" t="n">
        <v>47395</v>
      </c>
      <c r="H12" s="15" t="n">
        <v>41395</v>
      </c>
      <c r="I12" s="14" t="n">
        <v>79.93</v>
      </c>
      <c r="J12" s="14" t="s">
        <v>321</v>
      </c>
      <c r="K12" s="14" t="n">
        <v>1629</v>
      </c>
      <c r="L12" s="14" t="n">
        <v>6166</v>
      </c>
      <c r="M12" s="14" t="n">
        <v>2129</v>
      </c>
      <c r="N12" s="14" t="n">
        <v>15718</v>
      </c>
      <c r="O12" s="16" t="s">
        <v>318</v>
      </c>
      <c r="P12" s="16" t="s">
        <v>319</v>
      </c>
      <c r="Q12" s="16"/>
      <c r="R12" s="14" t="s">
        <v>156</v>
      </c>
    </row>
    <row r="13" customFormat="false" ht="15" hidden="false" customHeight="false" outlineLevel="0" collapsed="false">
      <c r="A13" s="14" t="s">
        <v>43</v>
      </c>
      <c r="B13" s="14" t="s">
        <v>157</v>
      </c>
      <c r="C13" s="14" t="s">
        <v>158</v>
      </c>
      <c r="D13" s="14" t="n">
        <v>13</v>
      </c>
      <c r="E13" s="14" t="n">
        <v>8</v>
      </c>
      <c r="F13" s="14" t="n">
        <v>38</v>
      </c>
      <c r="G13" s="15" t="n">
        <v>38195</v>
      </c>
      <c r="H13" s="15" t="n">
        <v>33195</v>
      </c>
      <c r="I13" s="14" t="n">
        <v>64</v>
      </c>
      <c r="J13" s="14" t="s">
        <v>324</v>
      </c>
      <c r="K13" s="14" t="n">
        <v>1400</v>
      </c>
      <c r="L13" s="14" t="n">
        <v>5302</v>
      </c>
      <c r="M13" s="14" t="n">
        <v>1860</v>
      </c>
      <c r="N13" s="14" t="n">
        <v>13546</v>
      </c>
      <c r="O13" s="16" t="s">
        <v>325</v>
      </c>
      <c r="P13" s="16" t="s">
        <v>326</v>
      </c>
      <c r="Q13" s="16"/>
      <c r="R13" s="14" t="s">
        <v>159</v>
      </c>
    </row>
    <row r="14" customFormat="false" ht="23.85" hidden="false" customHeight="false" outlineLevel="0" collapsed="false">
      <c r="A14" s="14" t="s">
        <v>43</v>
      </c>
      <c r="B14" s="14" t="s">
        <v>160</v>
      </c>
      <c r="C14" s="14" t="s">
        <v>158</v>
      </c>
      <c r="D14" s="14" t="n">
        <v>12</v>
      </c>
      <c r="E14" s="14" t="n">
        <v>8</v>
      </c>
      <c r="F14" s="14" t="n">
        <v>31</v>
      </c>
      <c r="G14" s="15" t="n">
        <v>34695</v>
      </c>
      <c r="H14" s="15" t="n">
        <v>30695</v>
      </c>
      <c r="I14" s="14" t="n">
        <v>59.2</v>
      </c>
      <c r="J14" s="14" t="s">
        <v>324</v>
      </c>
      <c r="K14" s="14" t="n">
        <v>1344</v>
      </c>
      <c r="L14" s="14" t="n">
        <v>5092</v>
      </c>
      <c r="M14" s="14" t="n">
        <v>1860</v>
      </c>
      <c r="N14" s="14" t="n">
        <v>13083</v>
      </c>
      <c r="O14" s="16" t="s">
        <v>327</v>
      </c>
      <c r="P14" s="16" t="s">
        <v>326</v>
      </c>
      <c r="Q14" s="16"/>
      <c r="R14" s="14" t="s">
        <v>161</v>
      </c>
    </row>
    <row r="15" customFormat="false" ht="23.85" hidden="false" customHeight="false" outlineLevel="0" collapsed="false">
      <c r="A15" s="14" t="s">
        <v>162</v>
      </c>
      <c r="B15" s="14" t="s">
        <v>163</v>
      </c>
      <c r="C15" s="14" t="s">
        <v>164</v>
      </c>
      <c r="D15" s="14" t="n">
        <v>19</v>
      </c>
      <c r="E15" s="14" t="n">
        <v>4</v>
      </c>
      <c r="F15" s="14" t="n">
        <v>53</v>
      </c>
      <c r="G15" s="15" t="n">
        <v>74995</v>
      </c>
      <c r="H15" s="15" t="n">
        <v>56095</v>
      </c>
      <c r="I15" s="14" t="n">
        <v>109.63</v>
      </c>
      <c r="J15" s="14" t="s">
        <v>328</v>
      </c>
      <c r="K15" s="14" t="n">
        <v>2076</v>
      </c>
      <c r="L15" s="14" t="n">
        <v>7857</v>
      </c>
      <c r="M15" s="14" t="n">
        <v>4000</v>
      </c>
      <c r="N15" s="14" t="n">
        <v>21317</v>
      </c>
      <c r="O15" s="16" t="s">
        <v>329</v>
      </c>
      <c r="P15" s="16" t="s">
        <v>315</v>
      </c>
      <c r="Q15" s="16" t="s">
        <v>330</v>
      </c>
      <c r="R15" s="14" t="s">
        <v>165</v>
      </c>
    </row>
    <row r="16" customFormat="false" ht="23.85" hidden="false" customHeight="false" outlineLevel="0" collapsed="false">
      <c r="A16" s="14" t="s">
        <v>162</v>
      </c>
      <c r="B16" s="14" t="s">
        <v>166</v>
      </c>
      <c r="C16" s="14" t="s">
        <v>164</v>
      </c>
      <c r="D16" s="14" t="n">
        <v>17</v>
      </c>
      <c r="E16" s="14" t="n">
        <v>3</v>
      </c>
      <c r="F16" s="14" t="n">
        <v>30</v>
      </c>
      <c r="G16" s="15" t="n">
        <v>65495</v>
      </c>
      <c r="H16" s="15" t="n">
        <v>50095</v>
      </c>
      <c r="I16" s="14" t="n">
        <v>98.23</v>
      </c>
      <c r="J16" s="14" t="s">
        <v>331</v>
      </c>
      <c r="K16" s="14" t="n">
        <v>2400</v>
      </c>
      <c r="L16" s="14" t="n">
        <v>9120</v>
      </c>
      <c r="M16" s="14" t="n">
        <v>2890</v>
      </c>
      <c r="N16" s="14" t="n">
        <v>22990</v>
      </c>
      <c r="O16" s="16" t="s">
        <v>329</v>
      </c>
      <c r="P16" s="16" t="s">
        <v>319</v>
      </c>
      <c r="Q16" s="16"/>
      <c r="R16" s="14" t="s">
        <v>167</v>
      </c>
    </row>
    <row r="17" customFormat="false" ht="23.85" hidden="false" customHeight="false" outlineLevel="0" collapsed="false">
      <c r="A17" s="14" t="s">
        <v>162</v>
      </c>
      <c r="B17" s="14" t="s">
        <v>168</v>
      </c>
      <c r="C17" s="14" t="s">
        <v>164</v>
      </c>
      <c r="D17" s="14" t="n">
        <v>14</v>
      </c>
      <c r="E17" s="14" t="n">
        <v>3</v>
      </c>
      <c r="F17" s="14" t="n">
        <v>30</v>
      </c>
      <c r="G17" s="15" t="n">
        <v>57495</v>
      </c>
      <c r="H17" s="15" t="n">
        <v>44795</v>
      </c>
      <c r="I17" s="14" t="n">
        <v>88.16</v>
      </c>
      <c r="J17" s="14" t="s">
        <v>332</v>
      </c>
      <c r="K17" s="14" t="n">
        <v>1900</v>
      </c>
      <c r="L17" s="14" t="n">
        <v>7220</v>
      </c>
      <c r="M17" s="14" t="n">
        <v>2532</v>
      </c>
      <c r="N17" s="14" t="n">
        <v>18445</v>
      </c>
      <c r="O17" s="16" t="s">
        <v>329</v>
      </c>
      <c r="P17" s="16" t="s">
        <v>326</v>
      </c>
      <c r="Q17" s="16"/>
      <c r="R17" s="14" t="s">
        <v>169</v>
      </c>
    </row>
    <row r="18" customFormat="false" ht="23.85" hidden="false" customHeight="false" outlineLevel="0" collapsed="false">
      <c r="A18" s="14" t="s">
        <v>162</v>
      </c>
      <c r="B18" s="14" t="s">
        <v>170</v>
      </c>
      <c r="C18" s="14" t="s">
        <v>171</v>
      </c>
      <c r="D18" s="14" t="n">
        <v>17</v>
      </c>
      <c r="E18" s="14" t="n">
        <v>3</v>
      </c>
      <c r="F18" s="14" t="n">
        <v>28</v>
      </c>
      <c r="G18" s="15" t="n">
        <v>58495</v>
      </c>
      <c r="H18" s="15" t="n">
        <v>43795</v>
      </c>
      <c r="I18" s="14" t="n">
        <v>86.26</v>
      </c>
      <c r="J18" s="14" t="s">
        <v>331</v>
      </c>
      <c r="K18" s="14" t="n">
        <v>2400</v>
      </c>
      <c r="L18" s="14" t="n">
        <v>9120</v>
      </c>
      <c r="M18" s="14" t="n">
        <v>2890</v>
      </c>
      <c r="N18" s="14" t="n">
        <v>22990</v>
      </c>
      <c r="O18" s="16" t="s">
        <v>329</v>
      </c>
      <c r="P18" s="16" t="s">
        <v>319</v>
      </c>
      <c r="Q18" s="16"/>
      <c r="R18" s="14" t="s">
        <v>172</v>
      </c>
    </row>
    <row r="19" customFormat="false" ht="23.85" hidden="false" customHeight="false" outlineLevel="0" collapsed="false">
      <c r="A19" s="14" t="s">
        <v>162</v>
      </c>
      <c r="B19" s="14" t="s">
        <v>173</v>
      </c>
      <c r="C19" s="14" t="s">
        <v>171</v>
      </c>
      <c r="D19" s="14" t="n">
        <v>14</v>
      </c>
      <c r="E19" s="14" t="n">
        <v>3</v>
      </c>
      <c r="F19" s="14" t="n">
        <v>28</v>
      </c>
      <c r="G19" s="15" t="n">
        <v>49995</v>
      </c>
      <c r="H19" s="15" t="n">
        <v>38095</v>
      </c>
      <c r="I19" s="14" t="n">
        <v>75.43</v>
      </c>
      <c r="J19" s="14" t="s">
        <v>332</v>
      </c>
      <c r="K19" s="14" t="n">
        <v>1900</v>
      </c>
      <c r="L19" s="14" t="n">
        <v>7220</v>
      </c>
      <c r="M19" s="14" t="n">
        <v>2532</v>
      </c>
      <c r="N19" s="14" t="n">
        <v>18445</v>
      </c>
      <c r="O19" s="16" t="s">
        <v>329</v>
      </c>
      <c r="P19" s="16" t="s">
        <v>326</v>
      </c>
      <c r="Q19" s="16"/>
      <c r="R19" s="14" t="s">
        <v>174</v>
      </c>
    </row>
  </sheetData>
  <autoFilter ref="A4:R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9" min="6" style="0" width="13"/>
    <col collapsed="false" customWidth="true" hidden="false" outlineLevel="0" max="10" min="10" style="0" width="20"/>
  </cols>
  <sheetData>
    <row r="1" customFormat="false" ht="19.7" hidden="false" customHeight="false" outlineLevel="0" collapsed="false">
      <c r="A1" s="11" t="s">
        <v>333</v>
      </c>
    </row>
    <row r="2" customFormat="false" ht="15" hidden="false" customHeight="false" outlineLevel="0" collapsed="false">
      <c r="A2" s="12" t="s">
        <v>334</v>
      </c>
    </row>
    <row r="4" customFormat="false" ht="15" hidden="false" customHeight="false" outlineLevel="0" collapsed="false">
      <c r="A4" s="17" t="s">
        <v>335</v>
      </c>
    </row>
    <row r="5" customFormat="false" ht="23.85" hidden="false" customHeight="false" outlineLevel="0" collapsed="false">
      <c r="A5" s="13" t="s">
        <v>33</v>
      </c>
      <c r="B5" s="13" t="s">
        <v>34</v>
      </c>
      <c r="C5" s="13" t="s">
        <v>310</v>
      </c>
      <c r="D5" s="13" t="s">
        <v>336</v>
      </c>
      <c r="E5" s="13" t="s">
        <v>38</v>
      </c>
      <c r="F5" s="13" t="s">
        <v>337</v>
      </c>
      <c r="G5" s="13" t="s">
        <v>41</v>
      </c>
    </row>
    <row r="6" customFormat="false" ht="15" hidden="false" customHeight="false" outlineLevel="0" collapsed="false">
      <c r="A6" s="14" t="s">
        <v>176</v>
      </c>
      <c r="B6" s="14" t="s">
        <v>177</v>
      </c>
      <c r="C6" s="14" t="s">
        <v>178</v>
      </c>
      <c r="D6" s="14" t="n">
        <v>1</v>
      </c>
      <c r="E6" s="15" t="n">
        <v>4599</v>
      </c>
      <c r="F6" s="14" t="s">
        <v>338</v>
      </c>
      <c r="G6" s="14" t="s">
        <v>182</v>
      </c>
    </row>
    <row r="7" customFormat="false" ht="15" hidden="false" customHeight="false" outlineLevel="0" collapsed="false">
      <c r="A7" s="14" t="s">
        <v>176</v>
      </c>
      <c r="B7" s="14" t="s">
        <v>183</v>
      </c>
      <c r="C7" s="14" t="s">
        <v>178</v>
      </c>
      <c r="D7" s="14" t="n">
        <v>2</v>
      </c>
      <c r="E7" s="15" t="n">
        <v>6399</v>
      </c>
      <c r="F7" s="14" t="s">
        <v>338</v>
      </c>
      <c r="G7" s="14" t="s">
        <v>185</v>
      </c>
    </row>
    <row r="8" customFormat="false" ht="15" hidden="false" customHeight="false" outlineLevel="0" collapsed="false">
      <c r="A8" s="14" t="s">
        <v>176</v>
      </c>
      <c r="B8" s="14" t="s">
        <v>186</v>
      </c>
      <c r="C8" s="14" t="s">
        <v>178</v>
      </c>
      <c r="D8" s="14" t="n">
        <v>3</v>
      </c>
      <c r="E8" s="15" t="n">
        <v>6799</v>
      </c>
      <c r="F8" s="14" t="s">
        <v>338</v>
      </c>
      <c r="G8" s="14" t="s">
        <v>187</v>
      </c>
    </row>
    <row r="9" customFormat="false" ht="15" hidden="false" customHeight="false" outlineLevel="0" collapsed="false">
      <c r="A9" s="14" t="s">
        <v>176</v>
      </c>
      <c r="B9" s="14" t="s">
        <v>188</v>
      </c>
      <c r="C9" s="14" t="s">
        <v>178</v>
      </c>
      <c r="D9" s="14" t="n">
        <v>3</v>
      </c>
      <c r="E9" s="15" t="n">
        <v>6799</v>
      </c>
      <c r="F9" s="14" t="s">
        <v>338</v>
      </c>
      <c r="G9" s="14" t="s">
        <v>189</v>
      </c>
    </row>
    <row r="10" customFormat="false" ht="15" hidden="false" customHeight="false" outlineLevel="0" collapsed="false">
      <c r="A10" s="14" t="s">
        <v>176</v>
      </c>
      <c r="B10" s="14" t="s">
        <v>190</v>
      </c>
      <c r="C10" s="14" t="s">
        <v>178</v>
      </c>
      <c r="D10" s="14" t="n">
        <v>4</v>
      </c>
      <c r="E10" s="15" t="n">
        <v>7399</v>
      </c>
      <c r="F10" s="14" t="s">
        <v>338</v>
      </c>
      <c r="G10" s="14" t="s">
        <v>191</v>
      </c>
    </row>
    <row r="11" customFormat="false" ht="15" hidden="false" customHeight="false" outlineLevel="0" collapsed="false">
      <c r="A11" s="14" t="s">
        <v>176</v>
      </c>
      <c r="B11" s="14" t="s">
        <v>192</v>
      </c>
      <c r="C11" s="14" t="s">
        <v>178</v>
      </c>
      <c r="D11" s="14" t="n">
        <v>4</v>
      </c>
      <c r="E11" s="15" t="n">
        <v>8399</v>
      </c>
      <c r="F11" s="14" t="s">
        <v>338</v>
      </c>
      <c r="G11" s="14" t="s">
        <v>193</v>
      </c>
    </row>
    <row r="12" customFormat="false" ht="15" hidden="false" customHeight="false" outlineLevel="0" collapsed="false">
      <c r="A12" s="14" t="s">
        <v>176</v>
      </c>
      <c r="B12" s="14" t="s">
        <v>194</v>
      </c>
      <c r="C12" s="14" t="s">
        <v>178</v>
      </c>
      <c r="D12" s="14" t="n">
        <v>4</v>
      </c>
      <c r="E12" s="15" t="n">
        <v>8599</v>
      </c>
      <c r="F12" s="14" t="s">
        <v>338</v>
      </c>
      <c r="G12" s="14" t="s">
        <v>195</v>
      </c>
    </row>
    <row r="14" customFormat="false" ht="15" hidden="false" customHeight="false" outlineLevel="0" collapsed="false">
      <c r="A14" s="17" t="s">
        <v>339</v>
      </c>
    </row>
    <row r="15" customFormat="false" ht="23.85" hidden="false" customHeight="false" outlineLevel="0" collapsed="false">
      <c r="A15" s="13" t="s">
        <v>33</v>
      </c>
      <c r="B15" s="13" t="s">
        <v>34</v>
      </c>
      <c r="C15" s="13" t="s">
        <v>340</v>
      </c>
      <c r="D15" s="13" t="s">
        <v>341</v>
      </c>
      <c r="E15" s="13" t="s">
        <v>342</v>
      </c>
      <c r="F15" s="13" t="s">
        <v>343</v>
      </c>
      <c r="G15" s="13" t="s">
        <v>344</v>
      </c>
      <c r="H15" s="13" t="s">
        <v>345</v>
      </c>
      <c r="I15" s="13" t="s">
        <v>346</v>
      </c>
      <c r="J15" s="13" t="s">
        <v>347</v>
      </c>
    </row>
    <row r="16" customFormat="false" ht="15" hidden="false" customHeight="false" outlineLevel="0" collapsed="false">
      <c r="A16" s="14" t="s">
        <v>197</v>
      </c>
      <c r="B16" s="14" t="s">
        <v>198</v>
      </c>
      <c r="C16" s="14" t="s">
        <v>348</v>
      </c>
      <c r="D16" s="14" t="s">
        <v>199</v>
      </c>
      <c r="E16" s="16" t="s">
        <v>349</v>
      </c>
      <c r="F16" s="15" t="n">
        <v>15995</v>
      </c>
      <c r="G16" s="15" t="n">
        <v>18495</v>
      </c>
      <c r="H16" s="15" t="n">
        <v>14995</v>
      </c>
      <c r="I16" s="15" t="n">
        <v>17495</v>
      </c>
      <c r="J16" s="14" t="s">
        <v>350</v>
      </c>
    </row>
    <row r="17" customFormat="false" ht="23.85" hidden="false" customHeight="false" outlineLevel="0" collapsed="false">
      <c r="A17" s="14" t="s">
        <v>197</v>
      </c>
      <c r="B17" s="14" t="s">
        <v>202</v>
      </c>
      <c r="C17" s="14" t="s">
        <v>348</v>
      </c>
      <c r="D17" s="14" t="s">
        <v>199</v>
      </c>
      <c r="E17" s="16" t="s">
        <v>351</v>
      </c>
      <c r="F17" s="15" t="n">
        <v>18495</v>
      </c>
      <c r="G17" s="15" t="n">
        <v>21995</v>
      </c>
      <c r="H17" s="15" t="n">
        <v>17495</v>
      </c>
      <c r="I17" s="15" t="n">
        <v>20995</v>
      </c>
      <c r="J17" s="14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26"/>
    <col collapsed="false" customWidth="true" hidden="false" outlineLevel="0" max="5" min="5" style="0" width="34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11" t="s">
        <v>353</v>
      </c>
    </row>
    <row r="2" customFormat="false" ht="15" hidden="false" customHeight="false" outlineLevel="0" collapsed="false">
      <c r="A2" s="12" t="s">
        <v>354</v>
      </c>
    </row>
    <row r="4" customFormat="false" ht="15" hidden="false" customHeight="false" outlineLevel="0" collapsed="false">
      <c r="A4" s="13" t="s">
        <v>355</v>
      </c>
      <c r="B4" s="13" t="s">
        <v>337</v>
      </c>
      <c r="C4" s="13" t="s">
        <v>356</v>
      </c>
      <c r="D4" s="13" t="s">
        <v>357</v>
      </c>
      <c r="E4" s="13" t="s">
        <v>250</v>
      </c>
      <c r="F4" s="13" t="s">
        <v>40</v>
      </c>
    </row>
    <row r="5" customFormat="false" ht="15" hidden="false" customHeight="false" outlineLevel="0" collapsed="false">
      <c r="A5" s="14" t="s">
        <v>358</v>
      </c>
      <c r="B5" s="14" t="s">
        <v>359</v>
      </c>
      <c r="C5" s="16" t="s">
        <v>360</v>
      </c>
      <c r="D5" s="16" t="s">
        <v>361</v>
      </c>
      <c r="E5" s="16" t="s">
        <v>362</v>
      </c>
      <c r="F5" s="14" t="s">
        <v>207</v>
      </c>
    </row>
    <row r="6" customFormat="false" ht="15" hidden="false" customHeight="false" outlineLevel="0" collapsed="false">
      <c r="A6" s="14" t="s">
        <v>363</v>
      </c>
      <c r="B6" s="14" t="s">
        <v>359</v>
      </c>
      <c r="C6" s="16" t="s">
        <v>364</v>
      </c>
      <c r="D6" s="16" t="s">
        <v>365</v>
      </c>
      <c r="E6" s="16" t="s">
        <v>366</v>
      </c>
      <c r="F6" s="14" t="s">
        <v>207</v>
      </c>
    </row>
    <row r="7" customFormat="false" ht="15" hidden="false" customHeight="false" outlineLevel="0" collapsed="false">
      <c r="A7" s="14" t="s">
        <v>367</v>
      </c>
      <c r="B7" s="14" t="s">
        <v>368</v>
      </c>
      <c r="C7" s="16" t="s">
        <v>369</v>
      </c>
      <c r="D7" s="16" t="s">
        <v>370</v>
      </c>
      <c r="E7" s="16" t="s">
        <v>371</v>
      </c>
      <c r="F7" s="14" t="s">
        <v>207</v>
      </c>
    </row>
    <row r="8" customFormat="false" ht="15" hidden="false" customHeight="false" outlineLevel="0" collapsed="false">
      <c r="A8" s="14" t="s">
        <v>372</v>
      </c>
      <c r="B8" s="14" t="s">
        <v>359</v>
      </c>
      <c r="C8" s="16" t="s">
        <v>373</v>
      </c>
      <c r="D8" s="16" t="s">
        <v>374</v>
      </c>
      <c r="E8" s="16" t="s">
        <v>375</v>
      </c>
      <c r="F8" s="14" t="s">
        <v>207</v>
      </c>
    </row>
  </sheetData>
  <autoFilter ref="A4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1" t="s">
        <v>376</v>
      </c>
    </row>
    <row r="2" customFormat="false" ht="15" hidden="false" customHeight="false" outlineLevel="0" collapsed="false">
      <c r="A2" s="12" t="s">
        <v>377</v>
      </c>
    </row>
    <row r="4" customFormat="false" ht="23.85" hidden="false" customHeight="false" outlineLevel="0" collapsed="false">
      <c r="A4" s="13" t="s">
        <v>33</v>
      </c>
      <c r="B4" s="13" t="s">
        <v>34</v>
      </c>
      <c r="C4" s="13" t="s">
        <v>378</v>
      </c>
      <c r="D4" s="13" t="s">
        <v>379</v>
      </c>
      <c r="E4" s="13" t="s">
        <v>40</v>
      </c>
      <c r="F4" s="13" t="s">
        <v>41</v>
      </c>
    </row>
    <row r="5" customFormat="false" ht="15" hidden="false" customHeight="false" outlineLevel="0" collapsed="false">
      <c r="A5" s="14" t="s">
        <v>204</v>
      </c>
      <c r="B5" s="14" t="s">
        <v>205</v>
      </c>
      <c r="C5" s="14" t="s">
        <v>206</v>
      </c>
      <c r="D5" s="14" t="s">
        <v>380</v>
      </c>
      <c r="E5" s="14" t="s">
        <v>207</v>
      </c>
      <c r="F5" s="14" t="s">
        <v>208</v>
      </c>
    </row>
    <row r="6" customFormat="false" ht="15" hidden="false" customHeight="false" outlineLevel="0" collapsed="false">
      <c r="A6" s="14" t="s">
        <v>204</v>
      </c>
      <c r="B6" s="14" t="s">
        <v>209</v>
      </c>
      <c r="C6" s="14" t="s">
        <v>206</v>
      </c>
      <c r="D6" s="14" t="s">
        <v>381</v>
      </c>
      <c r="E6" s="14" t="s">
        <v>207</v>
      </c>
      <c r="F6" s="14" t="s">
        <v>210</v>
      </c>
    </row>
    <row r="7" customFormat="false" ht="15" hidden="false" customHeight="false" outlineLevel="0" collapsed="false">
      <c r="A7" s="14" t="s">
        <v>204</v>
      </c>
      <c r="B7" s="14" t="s">
        <v>211</v>
      </c>
      <c r="C7" s="14" t="s">
        <v>212</v>
      </c>
      <c r="D7" s="14" t="s">
        <v>382</v>
      </c>
      <c r="E7" s="14" t="s">
        <v>207</v>
      </c>
      <c r="F7" s="14" t="s">
        <v>213</v>
      </c>
    </row>
    <row r="8" customFormat="false" ht="15" hidden="false" customHeight="false" outlineLevel="0" collapsed="false">
      <c r="A8" s="14" t="s">
        <v>204</v>
      </c>
      <c r="B8" s="14" t="s">
        <v>214</v>
      </c>
      <c r="C8" s="14" t="s">
        <v>215</v>
      </c>
      <c r="D8" s="14" t="s">
        <v>383</v>
      </c>
      <c r="E8" s="14" t="s">
        <v>207</v>
      </c>
      <c r="F8" s="14" t="s">
        <v>216</v>
      </c>
    </row>
  </sheetData>
  <autoFilter ref="A4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48"/>
  </cols>
  <sheetData>
    <row r="1" customFormat="false" ht="19.7" hidden="false" customHeight="false" outlineLevel="0" collapsed="false">
      <c r="A1" s="11" t="s">
        <v>21</v>
      </c>
    </row>
    <row r="2" customFormat="false" ht="15" hidden="false" customHeight="false" outlineLevel="0" collapsed="false">
      <c r="A2" s="12" t="s">
        <v>384</v>
      </c>
    </row>
    <row r="4" customFormat="false" ht="15" hidden="false" customHeight="false" outlineLevel="0" collapsed="false">
      <c r="A4" s="13" t="s">
        <v>33</v>
      </c>
      <c r="B4" s="13" t="s">
        <v>34</v>
      </c>
      <c r="C4" s="13" t="s">
        <v>40</v>
      </c>
      <c r="D4" s="13" t="s">
        <v>41</v>
      </c>
    </row>
    <row r="5" customFormat="false" ht="15" hidden="false" customHeight="false" outlineLevel="0" collapsed="false">
      <c r="A5" s="14" t="s">
        <v>116</v>
      </c>
      <c r="B5" s="14" t="s">
        <v>218</v>
      </c>
      <c r="C5" s="14" t="s">
        <v>207</v>
      </c>
      <c r="D5" s="14" t="s">
        <v>219</v>
      </c>
    </row>
    <row r="6" customFormat="false" ht="15" hidden="false" customHeight="false" outlineLevel="0" collapsed="false">
      <c r="A6" s="14" t="s">
        <v>116</v>
      </c>
      <c r="B6" s="14" t="s">
        <v>220</v>
      </c>
      <c r="C6" s="14" t="s">
        <v>207</v>
      </c>
      <c r="D6" s="14" t="s">
        <v>221</v>
      </c>
    </row>
  </sheetData>
  <autoFilter ref="A4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20"/>
    <col collapsed="false" customWidth="true" hidden="false" outlineLevel="0" max="6" min="6" style="0" width="44"/>
  </cols>
  <sheetData>
    <row r="1" customFormat="false" ht="19.7" hidden="false" customHeight="false" outlineLevel="0" collapsed="false">
      <c r="A1" s="11" t="s">
        <v>385</v>
      </c>
    </row>
    <row r="2" customFormat="false" ht="15" hidden="false" customHeight="false" outlineLevel="0" collapsed="false">
      <c r="A2" s="12" t="s">
        <v>386</v>
      </c>
    </row>
    <row r="4" customFormat="false" ht="15" hidden="false" customHeight="false" outlineLevel="0" collapsed="false">
      <c r="A4" s="13" t="s">
        <v>33</v>
      </c>
      <c r="B4" s="13" t="s">
        <v>387</v>
      </c>
      <c r="C4" s="13" t="s">
        <v>388</v>
      </c>
      <c r="D4" s="13" t="s">
        <v>389</v>
      </c>
      <c r="E4" s="13" t="s">
        <v>40</v>
      </c>
      <c r="F4" s="13" t="s">
        <v>41</v>
      </c>
    </row>
    <row r="5" customFormat="false" ht="15" hidden="false" customHeight="false" outlineLevel="0" collapsed="false">
      <c r="A5" s="14" t="s">
        <v>223</v>
      </c>
      <c r="B5" s="14" t="s">
        <v>224</v>
      </c>
      <c r="C5" s="14" t="s">
        <v>390</v>
      </c>
      <c r="D5" s="14" t="s">
        <v>391</v>
      </c>
      <c r="E5" s="14" t="s">
        <v>207</v>
      </c>
      <c r="F5" s="14" t="s">
        <v>225</v>
      </c>
    </row>
    <row r="6" customFormat="false" ht="15" hidden="false" customHeight="false" outlineLevel="0" collapsed="false">
      <c r="A6" s="14" t="s">
        <v>223</v>
      </c>
      <c r="B6" s="14" t="s">
        <v>226</v>
      </c>
      <c r="C6" s="14" t="s">
        <v>390</v>
      </c>
      <c r="D6" s="14" t="s">
        <v>392</v>
      </c>
      <c r="E6" s="14" t="s">
        <v>207</v>
      </c>
      <c r="F6" s="14" t="s">
        <v>227</v>
      </c>
    </row>
    <row r="7" customFormat="false" ht="15" hidden="false" customHeight="false" outlineLevel="0" collapsed="false">
      <c r="A7" s="14" t="s">
        <v>223</v>
      </c>
      <c r="B7" s="14" t="s">
        <v>228</v>
      </c>
      <c r="C7" s="14" t="s">
        <v>393</v>
      </c>
      <c r="D7" s="14" t="s">
        <v>394</v>
      </c>
      <c r="E7" s="14" t="s">
        <v>207</v>
      </c>
      <c r="F7" s="14" t="s">
        <v>229</v>
      </c>
    </row>
    <row r="8" customFormat="false" ht="15" hidden="false" customHeight="false" outlineLevel="0" collapsed="false">
      <c r="A8" s="14" t="s">
        <v>223</v>
      </c>
      <c r="B8" s="14" t="s">
        <v>230</v>
      </c>
      <c r="C8" s="14" t="s">
        <v>395</v>
      </c>
      <c r="D8" s="14" t="s">
        <v>396</v>
      </c>
      <c r="E8" s="14" t="s">
        <v>207</v>
      </c>
      <c r="F8" s="14" t="s">
        <v>231</v>
      </c>
    </row>
    <row r="9" customFormat="false" ht="15" hidden="false" customHeight="false" outlineLevel="0" collapsed="false">
      <c r="A9" s="14" t="s">
        <v>223</v>
      </c>
      <c r="B9" s="14" t="s">
        <v>232</v>
      </c>
      <c r="C9" s="14" t="s">
        <v>397</v>
      </c>
      <c r="D9" s="14" t="s">
        <v>398</v>
      </c>
      <c r="E9" s="14" t="s">
        <v>207</v>
      </c>
      <c r="F9" s="14" t="s">
        <v>233</v>
      </c>
    </row>
    <row r="10" customFormat="false" ht="15" hidden="false" customHeight="false" outlineLevel="0" collapsed="false">
      <c r="A10" s="14" t="s">
        <v>223</v>
      </c>
      <c r="B10" s="14" t="s">
        <v>234</v>
      </c>
      <c r="C10" s="14" t="s">
        <v>399</v>
      </c>
      <c r="D10" s="14" t="s">
        <v>398</v>
      </c>
      <c r="E10" s="14" t="s">
        <v>207</v>
      </c>
      <c r="F10" s="14" t="s">
        <v>235</v>
      </c>
    </row>
  </sheetData>
  <autoFilter ref="A4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2026-09-10T16:05:04Z</dcterms:created>
  <dc:creator>openpyxl</dc:creator>
  <dc:description/>
  <dc:language>en-US</dc:language>
  <cp:lastModifiedBy/>
  <dcterms:modified xsi:type="dcterms:W3CDTF">2026-09-10T16:05:05Z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